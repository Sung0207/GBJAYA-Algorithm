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anmt/kuliah/Rian-file/GMM NTB new/4_EnJAYA for GMPE Bindi and Zhao/Data/"/>
    </mc:Choice>
  </mc:AlternateContent>
  <xr:revisionPtr revIDLastSave="0" documentId="13_ncr:1_{00BC9E6E-9D66-6F49-BD5E-6A1CBA012474}" xr6:coauthVersionLast="47" xr6:coauthVersionMax="47" xr10:uidLastSave="{00000000-0000-0000-0000-000000000000}"/>
  <bookViews>
    <workbookView xWindow="0" yWindow="500" windowWidth="20740" windowHeight="11040" xr2:uid="{51A5F787-2E4A-554A-BA93-898DCA3DFAAB}"/>
  </bookViews>
  <sheets>
    <sheet name="PGA" sheetId="1" r:id="rId1"/>
    <sheet name="SA (0.3 s)" sheetId="2" r:id="rId2"/>
    <sheet name="SA (1.0 s)" sheetId="3" r:id="rId3"/>
    <sheet name="SA (3.0 s)" sheetId="4" r:id="rId4"/>
  </sheets>
  <definedNames>
    <definedName name="_xlnm._FilterDatabase" localSheetId="0" hidden="1">PGA!$K$1:$K$158</definedName>
    <definedName name="_xlnm._FilterDatabase" localSheetId="1" hidden="1">'SA (0.3 s)'!$K$1:$K$158</definedName>
    <definedName name="_xlnm._FilterDatabase" localSheetId="2" hidden="1">'SA (1.0 s)'!$K$1:$K$158</definedName>
    <definedName name="_xlnm._FilterDatabase" localSheetId="3" hidden="1">'SA (3.0 s)'!$K$1:$K$158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T89" i="4" s="1"/>
  <c r="V89" i="4" s="1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T154" i="3" s="1"/>
  <c r="V154" i="3" s="1"/>
  <c r="P155" i="3"/>
  <c r="P156" i="3"/>
  <c r="P157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R157" i="4"/>
  <c r="Q157" i="4"/>
  <c r="T157" i="4" s="1"/>
  <c r="V157" i="4" s="1"/>
  <c r="O157" i="4"/>
  <c r="N157" i="4"/>
  <c r="R156" i="4"/>
  <c r="T156" i="4" s="1"/>
  <c r="V156" i="4" s="1"/>
  <c r="Q156" i="4"/>
  <c r="O156" i="4"/>
  <c r="N156" i="4"/>
  <c r="R155" i="4"/>
  <c r="Q155" i="4"/>
  <c r="T155" i="4" s="1"/>
  <c r="V155" i="4" s="1"/>
  <c r="O155" i="4"/>
  <c r="N155" i="4"/>
  <c r="R154" i="4"/>
  <c r="Q154" i="4"/>
  <c r="O154" i="4"/>
  <c r="N154" i="4"/>
  <c r="R153" i="4"/>
  <c r="Q153" i="4"/>
  <c r="T153" i="4" s="1"/>
  <c r="V153" i="4" s="1"/>
  <c r="O153" i="4"/>
  <c r="N153" i="4"/>
  <c r="R152" i="4"/>
  <c r="Q152" i="4"/>
  <c r="O152" i="4"/>
  <c r="N152" i="4"/>
  <c r="R151" i="4"/>
  <c r="Q151" i="4"/>
  <c r="O151" i="4"/>
  <c r="N151" i="4"/>
  <c r="R150" i="4"/>
  <c r="Q150" i="4"/>
  <c r="O150" i="4"/>
  <c r="N150" i="4"/>
  <c r="R149" i="4"/>
  <c r="Q149" i="4"/>
  <c r="O149" i="4"/>
  <c r="N149" i="4"/>
  <c r="R148" i="4"/>
  <c r="Q148" i="4"/>
  <c r="O148" i="4"/>
  <c r="N148" i="4"/>
  <c r="R147" i="4"/>
  <c r="Q147" i="4"/>
  <c r="O147" i="4"/>
  <c r="N147" i="4"/>
  <c r="R146" i="4"/>
  <c r="Q146" i="4"/>
  <c r="O146" i="4"/>
  <c r="N146" i="4"/>
  <c r="R145" i="4"/>
  <c r="Q145" i="4"/>
  <c r="O145" i="4"/>
  <c r="N145" i="4"/>
  <c r="R144" i="4"/>
  <c r="Q144" i="4"/>
  <c r="O144" i="4"/>
  <c r="N144" i="4"/>
  <c r="R143" i="4"/>
  <c r="Q143" i="4"/>
  <c r="O143" i="4"/>
  <c r="N143" i="4"/>
  <c r="R142" i="4"/>
  <c r="Q142" i="4"/>
  <c r="O142" i="4"/>
  <c r="N142" i="4"/>
  <c r="R141" i="4"/>
  <c r="Q141" i="4"/>
  <c r="O141" i="4"/>
  <c r="N141" i="4"/>
  <c r="R140" i="4"/>
  <c r="Q140" i="4"/>
  <c r="O140" i="4"/>
  <c r="N140" i="4"/>
  <c r="R139" i="4"/>
  <c r="Q139" i="4"/>
  <c r="T139" i="4" s="1"/>
  <c r="V139" i="4" s="1"/>
  <c r="O139" i="4"/>
  <c r="N139" i="4"/>
  <c r="R138" i="4"/>
  <c r="Q138" i="4"/>
  <c r="O138" i="4"/>
  <c r="N138" i="4"/>
  <c r="R137" i="4"/>
  <c r="T137" i="4" s="1"/>
  <c r="V137" i="4" s="1"/>
  <c r="Q137" i="4"/>
  <c r="O137" i="4"/>
  <c r="N137" i="4"/>
  <c r="R136" i="4"/>
  <c r="Q136" i="4"/>
  <c r="O136" i="4"/>
  <c r="N136" i="4"/>
  <c r="R135" i="4"/>
  <c r="Q135" i="4"/>
  <c r="O135" i="4"/>
  <c r="N135" i="4"/>
  <c r="R134" i="4"/>
  <c r="Q134" i="4"/>
  <c r="O134" i="4"/>
  <c r="N134" i="4"/>
  <c r="R133" i="4"/>
  <c r="Q133" i="4"/>
  <c r="O133" i="4"/>
  <c r="N133" i="4"/>
  <c r="R132" i="4"/>
  <c r="Q132" i="4"/>
  <c r="O132" i="4"/>
  <c r="N132" i="4"/>
  <c r="R131" i="4"/>
  <c r="Q131" i="4"/>
  <c r="O131" i="4"/>
  <c r="N131" i="4"/>
  <c r="R130" i="4"/>
  <c r="Q130" i="4"/>
  <c r="O130" i="4"/>
  <c r="N130" i="4"/>
  <c r="R129" i="4"/>
  <c r="Q129" i="4"/>
  <c r="T129" i="4" s="1"/>
  <c r="V129" i="4" s="1"/>
  <c r="O129" i="4"/>
  <c r="N129" i="4"/>
  <c r="R128" i="4"/>
  <c r="Q128" i="4"/>
  <c r="O128" i="4"/>
  <c r="N128" i="4"/>
  <c r="R127" i="4"/>
  <c r="Q127" i="4"/>
  <c r="O127" i="4"/>
  <c r="N127" i="4"/>
  <c r="R126" i="4"/>
  <c r="Q126" i="4"/>
  <c r="O126" i="4"/>
  <c r="N126" i="4"/>
  <c r="R125" i="4"/>
  <c r="Q125" i="4"/>
  <c r="O125" i="4"/>
  <c r="N125" i="4"/>
  <c r="R124" i="4"/>
  <c r="Q124" i="4"/>
  <c r="O124" i="4"/>
  <c r="N124" i="4"/>
  <c r="R123" i="4"/>
  <c r="Q123" i="4"/>
  <c r="O123" i="4"/>
  <c r="N123" i="4"/>
  <c r="R122" i="4"/>
  <c r="Q122" i="4"/>
  <c r="O122" i="4"/>
  <c r="N122" i="4"/>
  <c r="R121" i="4"/>
  <c r="Q121" i="4"/>
  <c r="T121" i="4" s="1"/>
  <c r="V121" i="4" s="1"/>
  <c r="O121" i="4"/>
  <c r="N121" i="4"/>
  <c r="R120" i="4"/>
  <c r="Q120" i="4"/>
  <c r="O120" i="4"/>
  <c r="N120" i="4"/>
  <c r="R119" i="4"/>
  <c r="Q119" i="4"/>
  <c r="T119" i="4" s="1"/>
  <c r="V119" i="4" s="1"/>
  <c r="O119" i="4"/>
  <c r="N119" i="4"/>
  <c r="R118" i="4"/>
  <c r="Q118" i="4"/>
  <c r="O118" i="4"/>
  <c r="N118" i="4"/>
  <c r="R117" i="4"/>
  <c r="Q117" i="4"/>
  <c r="O117" i="4"/>
  <c r="N117" i="4"/>
  <c r="R116" i="4"/>
  <c r="Q116" i="4"/>
  <c r="T116" i="4"/>
  <c r="V116" i="4" s="1"/>
  <c r="O116" i="4"/>
  <c r="N116" i="4"/>
  <c r="R115" i="4"/>
  <c r="Q115" i="4"/>
  <c r="O115" i="4"/>
  <c r="N115" i="4"/>
  <c r="R114" i="4"/>
  <c r="Q114" i="4"/>
  <c r="O114" i="4"/>
  <c r="N114" i="4"/>
  <c r="R113" i="4"/>
  <c r="Q113" i="4"/>
  <c r="O113" i="4"/>
  <c r="N113" i="4"/>
  <c r="R112" i="4"/>
  <c r="Q112" i="4"/>
  <c r="O112" i="4"/>
  <c r="N112" i="4"/>
  <c r="R111" i="4"/>
  <c r="Q111" i="4"/>
  <c r="O111" i="4"/>
  <c r="N111" i="4"/>
  <c r="R110" i="4"/>
  <c r="Q110" i="4"/>
  <c r="O110" i="4"/>
  <c r="N110" i="4"/>
  <c r="R109" i="4"/>
  <c r="Q109" i="4"/>
  <c r="O109" i="4"/>
  <c r="N109" i="4"/>
  <c r="R108" i="4"/>
  <c r="Q108" i="4"/>
  <c r="O108" i="4"/>
  <c r="N108" i="4"/>
  <c r="R107" i="4"/>
  <c r="Q107" i="4"/>
  <c r="O107" i="4"/>
  <c r="N107" i="4"/>
  <c r="R106" i="4"/>
  <c r="T106" i="4" s="1"/>
  <c r="V106" i="4" s="1"/>
  <c r="Q106" i="4"/>
  <c r="O106" i="4"/>
  <c r="N106" i="4"/>
  <c r="R105" i="4"/>
  <c r="Q105" i="4"/>
  <c r="O105" i="4"/>
  <c r="N105" i="4"/>
  <c r="R104" i="4"/>
  <c r="Q104" i="4"/>
  <c r="O104" i="4"/>
  <c r="N104" i="4"/>
  <c r="R103" i="4"/>
  <c r="Q103" i="4"/>
  <c r="O103" i="4"/>
  <c r="N103" i="4"/>
  <c r="R102" i="4"/>
  <c r="Q102" i="4"/>
  <c r="O102" i="4"/>
  <c r="N102" i="4"/>
  <c r="R101" i="4"/>
  <c r="Q101" i="4"/>
  <c r="O101" i="4"/>
  <c r="N101" i="4"/>
  <c r="R100" i="4"/>
  <c r="Q100" i="4"/>
  <c r="T100" i="4"/>
  <c r="V100" i="4" s="1"/>
  <c r="O100" i="4"/>
  <c r="N100" i="4"/>
  <c r="R99" i="4"/>
  <c r="Q99" i="4"/>
  <c r="T99" i="4"/>
  <c r="V99" i="4" s="1"/>
  <c r="O99" i="4"/>
  <c r="N99" i="4"/>
  <c r="R98" i="4"/>
  <c r="T98" i="4" s="1"/>
  <c r="V98" i="4" s="1"/>
  <c r="Q98" i="4"/>
  <c r="O98" i="4"/>
  <c r="N98" i="4"/>
  <c r="R97" i="4"/>
  <c r="Q97" i="4"/>
  <c r="O97" i="4"/>
  <c r="N97" i="4"/>
  <c r="R96" i="4"/>
  <c r="Q96" i="4"/>
  <c r="O96" i="4"/>
  <c r="N96" i="4"/>
  <c r="R95" i="4"/>
  <c r="Q95" i="4"/>
  <c r="O95" i="4"/>
  <c r="N95" i="4"/>
  <c r="R94" i="4"/>
  <c r="Q94" i="4"/>
  <c r="O94" i="4"/>
  <c r="N94" i="4"/>
  <c r="R93" i="4"/>
  <c r="Q93" i="4"/>
  <c r="O93" i="4"/>
  <c r="N93" i="4"/>
  <c r="R92" i="4"/>
  <c r="Q92" i="4"/>
  <c r="O92" i="4"/>
  <c r="N92" i="4"/>
  <c r="R91" i="4"/>
  <c r="Q91" i="4"/>
  <c r="O91" i="4"/>
  <c r="N91" i="4"/>
  <c r="R90" i="4"/>
  <c r="Q90" i="4"/>
  <c r="O90" i="4"/>
  <c r="N90" i="4"/>
  <c r="R89" i="4"/>
  <c r="Q89" i="4"/>
  <c r="O89" i="4"/>
  <c r="N89" i="4"/>
  <c r="R88" i="4"/>
  <c r="Q88" i="4"/>
  <c r="O88" i="4"/>
  <c r="N88" i="4"/>
  <c r="R87" i="4"/>
  <c r="Q87" i="4"/>
  <c r="O87" i="4"/>
  <c r="N87" i="4"/>
  <c r="R86" i="4"/>
  <c r="Q86" i="4"/>
  <c r="O86" i="4"/>
  <c r="N86" i="4"/>
  <c r="R85" i="4"/>
  <c r="Q85" i="4"/>
  <c r="O85" i="4"/>
  <c r="N85" i="4"/>
  <c r="R84" i="4"/>
  <c r="T84" i="4" s="1"/>
  <c r="V84" i="4" s="1"/>
  <c r="Q84" i="4"/>
  <c r="O84" i="4"/>
  <c r="N84" i="4"/>
  <c r="R83" i="4"/>
  <c r="Q83" i="4"/>
  <c r="O83" i="4"/>
  <c r="N83" i="4"/>
  <c r="R82" i="4"/>
  <c r="Q82" i="4"/>
  <c r="O82" i="4"/>
  <c r="N82" i="4"/>
  <c r="R81" i="4"/>
  <c r="Q81" i="4"/>
  <c r="O81" i="4"/>
  <c r="N81" i="4"/>
  <c r="R80" i="4"/>
  <c r="Q80" i="4"/>
  <c r="O80" i="4"/>
  <c r="N80" i="4"/>
  <c r="R79" i="4"/>
  <c r="Q79" i="4"/>
  <c r="O79" i="4"/>
  <c r="N79" i="4"/>
  <c r="R78" i="4"/>
  <c r="Q78" i="4"/>
  <c r="O78" i="4"/>
  <c r="N78" i="4"/>
  <c r="R77" i="4"/>
  <c r="Q77" i="4"/>
  <c r="O77" i="4"/>
  <c r="N77" i="4"/>
  <c r="R76" i="4"/>
  <c r="Q76" i="4"/>
  <c r="O76" i="4"/>
  <c r="N76" i="4"/>
  <c r="R75" i="4"/>
  <c r="Q75" i="4"/>
  <c r="O75" i="4"/>
  <c r="N75" i="4"/>
  <c r="R74" i="4"/>
  <c r="Q74" i="4"/>
  <c r="O74" i="4"/>
  <c r="N74" i="4"/>
  <c r="R73" i="4"/>
  <c r="Q73" i="4"/>
  <c r="O73" i="4"/>
  <c r="N73" i="4"/>
  <c r="R72" i="4"/>
  <c r="Q72" i="4"/>
  <c r="O72" i="4"/>
  <c r="N72" i="4"/>
  <c r="R71" i="4"/>
  <c r="Q71" i="4"/>
  <c r="O71" i="4"/>
  <c r="N71" i="4"/>
  <c r="R70" i="4"/>
  <c r="Q70" i="4"/>
  <c r="O70" i="4"/>
  <c r="N70" i="4"/>
  <c r="R69" i="4"/>
  <c r="Q69" i="4"/>
  <c r="O69" i="4"/>
  <c r="N69" i="4"/>
  <c r="R68" i="4"/>
  <c r="T68" i="4" s="1"/>
  <c r="V68" i="4" s="1"/>
  <c r="Q68" i="4"/>
  <c r="O68" i="4"/>
  <c r="N68" i="4"/>
  <c r="R67" i="4"/>
  <c r="Q67" i="4"/>
  <c r="O67" i="4"/>
  <c r="N67" i="4"/>
  <c r="R66" i="4"/>
  <c r="Q66" i="4"/>
  <c r="O66" i="4"/>
  <c r="N66" i="4"/>
  <c r="R65" i="4"/>
  <c r="Q65" i="4"/>
  <c r="O65" i="4"/>
  <c r="N65" i="4"/>
  <c r="R64" i="4"/>
  <c r="Q64" i="4"/>
  <c r="O64" i="4"/>
  <c r="N64" i="4"/>
  <c r="R63" i="4"/>
  <c r="Q63" i="4"/>
  <c r="O63" i="4"/>
  <c r="N63" i="4"/>
  <c r="R62" i="4"/>
  <c r="Q62" i="4"/>
  <c r="O62" i="4"/>
  <c r="N62" i="4"/>
  <c r="R61" i="4"/>
  <c r="Q61" i="4"/>
  <c r="O61" i="4"/>
  <c r="N61" i="4"/>
  <c r="R60" i="4"/>
  <c r="Q60" i="4"/>
  <c r="O60" i="4"/>
  <c r="N60" i="4"/>
  <c r="R59" i="4"/>
  <c r="Q59" i="4"/>
  <c r="O59" i="4"/>
  <c r="N59" i="4"/>
  <c r="R58" i="4"/>
  <c r="Q58" i="4"/>
  <c r="O58" i="4"/>
  <c r="N58" i="4"/>
  <c r="R57" i="4"/>
  <c r="Q57" i="4"/>
  <c r="O57" i="4"/>
  <c r="N57" i="4"/>
  <c r="R56" i="4"/>
  <c r="Q56" i="4"/>
  <c r="O56" i="4"/>
  <c r="N56" i="4"/>
  <c r="R55" i="4"/>
  <c r="Q55" i="4"/>
  <c r="O55" i="4"/>
  <c r="N55" i="4"/>
  <c r="R54" i="4"/>
  <c r="Q54" i="4"/>
  <c r="O54" i="4"/>
  <c r="N54" i="4"/>
  <c r="R53" i="4"/>
  <c r="Q53" i="4"/>
  <c r="O53" i="4"/>
  <c r="N53" i="4"/>
  <c r="R52" i="4"/>
  <c r="T52" i="4" s="1"/>
  <c r="V52" i="4" s="1"/>
  <c r="Q52" i="4"/>
  <c r="O52" i="4"/>
  <c r="N52" i="4"/>
  <c r="R51" i="4"/>
  <c r="Q51" i="4"/>
  <c r="O51" i="4"/>
  <c r="N51" i="4"/>
  <c r="R50" i="4"/>
  <c r="Q50" i="4"/>
  <c r="O50" i="4"/>
  <c r="N50" i="4"/>
  <c r="R49" i="4"/>
  <c r="Q49" i="4"/>
  <c r="O49" i="4"/>
  <c r="N49" i="4"/>
  <c r="R48" i="4"/>
  <c r="Q48" i="4"/>
  <c r="O48" i="4"/>
  <c r="N48" i="4"/>
  <c r="R47" i="4"/>
  <c r="Q47" i="4"/>
  <c r="O47" i="4"/>
  <c r="N47" i="4"/>
  <c r="R46" i="4"/>
  <c r="Q46" i="4"/>
  <c r="O46" i="4"/>
  <c r="N46" i="4"/>
  <c r="R45" i="4"/>
  <c r="Q45" i="4"/>
  <c r="O45" i="4"/>
  <c r="N45" i="4"/>
  <c r="R44" i="4"/>
  <c r="Q44" i="4"/>
  <c r="O44" i="4"/>
  <c r="N44" i="4"/>
  <c r="R43" i="4"/>
  <c r="Q43" i="4"/>
  <c r="O43" i="4"/>
  <c r="N43" i="4"/>
  <c r="R42" i="4"/>
  <c r="Q42" i="4"/>
  <c r="O42" i="4"/>
  <c r="N42" i="4"/>
  <c r="R41" i="4"/>
  <c r="Q41" i="4"/>
  <c r="O41" i="4"/>
  <c r="N41" i="4"/>
  <c r="R40" i="4"/>
  <c r="Q40" i="4"/>
  <c r="O40" i="4"/>
  <c r="N40" i="4"/>
  <c r="R39" i="4"/>
  <c r="Q39" i="4"/>
  <c r="O39" i="4"/>
  <c r="N39" i="4"/>
  <c r="R38" i="4"/>
  <c r="Q38" i="4"/>
  <c r="O38" i="4"/>
  <c r="N38" i="4"/>
  <c r="R37" i="4"/>
  <c r="Q37" i="4"/>
  <c r="O37" i="4"/>
  <c r="N37" i="4"/>
  <c r="R36" i="4"/>
  <c r="T36" i="4" s="1"/>
  <c r="V36" i="4" s="1"/>
  <c r="Q36" i="4"/>
  <c r="O36" i="4"/>
  <c r="N36" i="4"/>
  <c r="R35" i="4"/>
  <c r="Q35" i="4"/>
  <c r="O35" i="4"/>
  <c r="N35" i="4"/>
  <c r="R34" i="4"/>
  <c r="Q34" i="4"/>
  <c r="O34" i="4"/>
  <c r="N34" i="4"/>
  <c r="R33" i="4"/>
  <c r="Q33" i="4"/>
  <c r="O33" i="4"/>
  <c r="N33" i="4"/>
  <c r="R32" i="4"/>
  <c r="Q32" i="4"/>
  <c r="O32" i="4"/>
  <c r="N32" i="4"/>
  <c r="R31" i="4"/>
  <c r="Q31" i="4"/>
  <c r="O31" i="4"/>
  <c r="N31" i="4"/>
  <c r="R30" i="4"/>
  <c r="Q30" i="4"/>
  <c r="O30" i="4"/>
  <c r="N30" i="4"/>
  <c r="R29" i="4"/>
  <c r="Q29" i="4"/>
  <c r="O29" i="4"/>
  <c r="N29" i="4"/>
  <c r="R28" i="4"/>
  <c r="Q28" i="4"/>
  <c r="O28" i="4"/>
  <c r="N28" i="4"/>
  <c r="R27" i="4"/>
  <c r="Q27" i="4"/>
  <c r="O27" i="4"/>
  <c r="N27" i="4"/>
  <c r="R26" i="4"/>
  <c r="Q26" i="4"/>
  <c r="O26" i="4"/>
  <c r="N26" i="4"/>
  <c r="R25" i="4"/>
  <c r="Q25" i="4"/>
  <c r="O25" i="4"/>
  <c r="N25" i="4"/>
  <c r="R24" i="4"/>
  <c r="Q24" i="4"/>
  <c r="O24" i="4"/>
  <c r="N24" i="4"/>
  <c r="R23" i="4"/>
  <c r="Q23" i="4"/>
  <c r="O23" i="4"/>
  <c r="N23" i="4"/>
  <c r="R22" i="4"/>
  <c r="Q22" i="4"/>
  <c r="O22" i="4"/>
  <c r="N22" i="4"/>
  <c r="R21" i="4"/>
  <c r="Q21" i="4"/>
  <c r="O21" i="4"/>
  <c r="N21" i="4"/>
  <c r="R20" i="4"/>
  <c r="T20" i="4" s="1"/>
  <c r="V20" i="4" s="1"/>
  <c r="Q20" i="4"/>
  <c r="O20" i="4"/>
  <c r="N20" i="4"/>
  <c r="R19" i="4"/>
  <c r="Q19" i="4"/>
  <c r="O19" i="4"/>
  <c r="N19" i="4"/>
  <c r="R18" i="4"/>
  <c r="Q18" i="4"/>
  <c r="O18" i="4"/>
  <c r="N18" i="4"/>
  <c r="R17" i="4"/>
  <c r="Q17" i="4"/>
  <c r="O17" i="4"/>
  <c r="N17" i="4"/>
  <c r="R16" i="4"/>
  <c r="Q16" i="4"/>
  <c r="O16" i="4"/>
  <c r="N16" i="4"/>
  <c r="R15" i="4"/>
  <c r="Q15" i="4"/>
  <c r="O15" i="4"/>
  <c r="N15" i="4"/>
  <c r="R14" i="4"/>
  <c r="Q14" i="4"/>
  <c r="O14" i="4"/>
  <c r="N14" i="4"/>
  <c r="R13" i="4"/>
  <c r="Q13" i="4"/>
  <c r="O13" i="4"/>
  <c r="N13" i="4"/>
  <c r="R12" i="4"/>
  <c r="Q12" i="4"/>
  <c r="O12" i="4"/>
  <c r="N12" i="4"/>
  <c r="R11" i="4"/>
  <c r="Q11" i="4"/>
  <c r="O11" i="4"/>
  <c r="N11" i="4"/>
  <c r="R10" i="4"/>
  <c r="Q10" i="4"/>
  <c r="O10" i="4"/>
  <c r="N10" i="4"/>
  <c r="R9" i="4"/>
  <c r="Q9" i="4"/>
  <c r="O9" i="4"/>
  <c r="N9" i="4"/>
  <c r="R8" i="4"/>
  <c r="Q8" i="4"/>
  <c r="O8" i="4"/>
  <c r="N8" i="4"/>
  <c r="R7" i="4"/>
  <c r="Q7" i="4"/>
  <c r="O7" i="4"/>
  <c r="N7" i="4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R6" i="4"/>
  <c r="Q6" i="4"/>
  <c r="O6" i="4"/>
  <c r="N6" i="4"/>
  <c r="R5" i="4"/>
  <c r="Q5" i="4"/>
  <c r="O5" i="4"/>
  <c r="N5" i="4"/>
  <c r="R4" i="4"/>
  <c r="Q4" i="4"/>
  <c r="O4" i="4"/>
  <c r="N4" i="4"/>
  <c r="R3" i="4"/>
  <c r="Q3" i="4"/>
  <c r="O3" i="4"/>
  <c r="N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R2" i="4"/>
  <c r="Q2" i="4"/>
  <c r="P2" i="4"/>
  <c r="O2" i="4"/>
  <c r="N2" i="4"/>
  <c r="R157" i="3"/>
  <c r="Q157" i="3"/>
  <c r="O157" i="3"/>
  <c r="N157" i="3"/>
  <c r="R156" i="3"/>
  <c r="Q156" i="3"/>
  <c r="O156" i="3"/>
  <c r="N156" i="3"/>
  <c r="R155" i="3"/>
  <c r="Q155" i="3"/>
  <c r="O155" i="3"/>
  <c r="N155" i="3"/>
  <c r="R154" i="3"/>
  <c r="Q154" i="3"/>
  <c r="O154" i="3"/>
  <c r="N154" i="3"/>
  <c r="R153" i="3"/>
  <c r="Q153" i="3"/>
  <c r="O153" i="3"/>
  <c r="N153" i="3"/>
  <c r="R152" i="3"/>
  <c r="Q152" i="3"/>
  <c r="O152" i="3"/>
  <c r="N152" i="3"/>
  <c r="R151" i="3"/>
  <c r="Q151" i="3"/>
  <c r="O151" i="3"/>
  <c r="N151" i="3"/>
  <c r="R150" i="3"/>
  <c r="Q150" i="3"/>
  <c r="T150" i="3" s="1"/>
  <c r="V150" i="3" s="1"/>
  <c r="O150" i="3"/>
  <c r="N150" i="3"/>
  <c r="R149" i="3"/>
  <c r="Q149" i="3"/>
  <c r="O149" i="3"/>
  <c r="N149" i="3"/>
  <c r="R148" i="3"/>
  <c r="Q148" i="3"/>
  <c r="T148" i="3" s="1"/>
  <c r="V148" i="3" s="1"/>
  <c r="O148" i="3"/>
  <c r="N148" i="3"/>
  <c r="R147" i="3"/>
  <c r="Q147" i="3"/>
  <c r="O147" i="3"/>
  <c r="N147" i="3"/>
  <c r="T146" i="3"/>
  <c r="V146" i="3" s="1"/>
  <c r="R146" i="3"/>
  <c r="Q146" i="3"/>
  <c r="O146" i="3"/>
  <c r="N146" i="3"/>
  <c r="R145" i="3"/>
  <c r="Q145" i="3"/>
  <c r="O145" i="3"/>
  <c r="N145" i="3"/>
  <c r="R144" i="3"/>
  <c r="Q144" i="3"/>
  <c r="O144" i="3"/>
  <c r="N144" i="3"/>
  <c r="R143" i="3"/>
  <c r="Q143" i="3"/>
  <c r="O143" i="3"/>
  <c r="N143" i="3"/>
  <c r="R142" i="3"/>
  <c r="Q142" i="3"/>
  <c r="O142" i="3"/>
  <c r="N142" i="3"/>
  <c r="R141" i="3"/>
  <c r="Q141" i="3"/>
  <c r="O141" i="3"/>
  <c r="N141" i="3"/>
  <c r="R140" i="3"/>
  <c r="Q140" i="3"/>
  <c r="T140" i="3" s="1"/>
  <c r="V140" i="3" s="1"/>
  <c r="O140" i="3"/>
  <c r="N140" i="3"/>
  <c r="R139" i="3"/>
  <c r="Q139" i="3"/>
  <c r="O139" i="3"/>
  <c r="N139" i="3"/>
  <c r="R138" i="3"/>
  <c r="T138" i="3" s="1"/>
  <c r="V138" i="3" s="1"/>
  <c r="Q138" i="3"/>
  <c r="O138" i="3"/>
  <c r="N138" i="3"/>
  <c r="R137" i="3"/>
  <c r="Q137" i="3"/>
  <c r="O137" i="3"/>
  <c r="N137" i="3"/>
  <c r="R136" i="3"/>
  <c r="Q136" i="3"/>
  <c r="O136" i="3"/>
  <c r="N136" i="3"/>
  <c r="R135" i="3"/>
  <c r="Q135" i="3"/>
  <c r="O135" i="3"/>
  <c r="N135" i="3"/>
  <c r="R134" i="3"/>
  <c r="Q134" i="3"/>
  <c r="O134" i="3"/>
  <c r="N134" i="3"/>
  <c r="R133" i="3"/>
  <c r="Q133" i="3"/>
  <c r="O133" i="3"/>
  <c r="N133" i="3"/>
  <c r="R132" i="3"/>
  <c r="Q132" i="3"/>
  <c r="O132" i="3"/>
  <c r="N132" i="3"/>
  <c r="R131" i="3"/>
  <c r="Q131" i="3"/>
  <c r="O131" i="3"/>
  <c r="N131" i="3"/>
  <c r="R130" i="3"/>
  <c r="Q130" i="3"/>
  <c r="T130" i="3" s="1"/>
  <c r="V130" i="3" s="1"/>
  <c r="O130" i="3"/>
  <c r="N130" i="3"/>
  <c r="R129" i="3"/>
  <c r="Q129" i="3"/>
  <c r="O129" i="3"/>
  <c r="N129" i="3"/>
  <c r="R128" i="3"/>
  <c r="Q128" i="3"/>
  <c r="O128" i="3"/>
  <c r="N128" i="3"/>
  <c r="R127" i="3"/>
  <c r="Q127" i="3"/>
  <c r="O127" i="3"/>
  <c r="N127" i="3"/>
  <c r="R126" i="3"/>
  <c r="Q126" i="3"/>
  <c r="O126" i="3"/>
  <c r="N126" i="3"/>
  <c r="R125" i="3"/>
  <c r="Q125" i="3"/>
  <c r="O125" i="3"/>
  <c r="N125" i="3"/>
  <c r="R124" i="3"/>
  <c r="Q124" i="3"/>
  <c r="O124" i="3"/>
  <c r="N124" i="3"/>
  <c r="R123" i="3"/>
  <c r="Q123" i="3"/>
  <c r="O123" i="3"/>
  <c r="N123" i="3"/>
  <c r="R122" i="3"/>
  <c r="Q122" i="3"/>
  <c r="O122" i="3"/>
  <c r="N122" i="3"/>
  <c r="R121" i="3"/>
  <c r="Q121" i="3"/>
  <c r="O121" i="3"/>
  <c r="N121" i="3"/>
  <c r="T121" i="3" s="1"/>
  <c r="V121" i="3" s="1"/>
  <c r="R120" i="3"/>
  <c r="Q120" i="3"/>
  <c r="O120" i="3"/>
  <c r="N120" i="3"/>
  <c r="R119" i="3"/>
  <c r="Q119" i="3"/>
  <c r="O119" i="3"/>
  <c r="N119" i="3"/>
  <c r="R118" i="3"/>
  <c r="Q118" i="3"/>
  <c r="O118" i="3"/>
  <c r="N118" i="3"/>
  <c r="R117" i="3"/>
  <c r="Q117" i="3"/>
  <c r="T117" i="3" s="1"/>
  <c r="V117" i="3" s="1"/>
  <c r="O117" i="3"/>
  <c r="N117" i="3"/>
  <c r="R116" i="3"/>
  <c r="Q116" i="3"/>
  <c r="O116" i="3"/>
  <c r="N116" i="3"/>
  <c r="R115" i="3"/>
  <c r="Q115" i="3"/>
  <c r="O115" i="3"/>
  <c r="N115" i="3"/>
  <c r="R114" i="3"/>
  <c r="Q114" i="3"/>
  <c r="O114" i="3"/>
  <c r="N114" i="3"/>
  <c r="R113" i="3"/>
  <c r="Q113" i="3"/>
  <c r="O113" i="3"/>
  <c r="N113" i="3"/>
  <c r="R112" i="3"/>
  <c r="Q112" i="3"/>
  <c r="T112" i="3" s="1"/>
  <c r="V112" i="3" s="1"/>
  <c r="O112" i="3"/>
  <c r="N112" i="3"/>
  <c r="R111" i="3"/>
  <c r="Q111" i="3"/>
  <c r="O111" i="3"/>
  <c r="N111" i="3"/>
  <c r="R110" i="3"/>
  <c r="Q110" i="3"/>
  <c r="O110" i="3"/>
  <c r="N110" i="3"/>
  <c r="R109" i="3"/>
  <c r="Q109" i="3"/>
  <c r="O109" i="3"/>
  <c r="N109" i="3"/>
  <c r="R108" i="3"/>
  <c r="Q108" i="3"/>
  <c r="O108" i="3"/>
  <c r="N108" i="3"/>
  <c r="R107" i="3"/>
  <c r="Q107" i="3"/>
  <c r="O107" i="3"/>
  <c r="N107" i="3"/>
  <c r="T106" i="3"/>
  <c r="V106" i="3" s="1"/>
  <c r="R106" i="3"/>
  <c r="Q106" i="3"/>
  <c r="O106" i="3"/>
  <c r="N106" i="3"/>
  <c r="R105" i="3"/>
  <c r="Q105" i="3"/>
  <c r="O105" i="3"/>
  <c r="N105" i="3"/>
  <c r="T105" i="3" s="1"/>
  <c r="V105" i="3" s="1"/>
  <c r="R104" i="3"/>
  <c r="Q104" i="3"/>
  <c r="O104" i="3"/>
  <c r="N104" i="3"/>
  <c r="R103" i="3"/>
  <c r="Q103" i="3"/>
  <c r="O103" i="3"/>
  <c r="N103" i="3"/>
  <c r="R102" i="3"/>
  <c r="Q102" i="3"/>
  <c r="O102" i="3"/>
  <c r="N102" i="3"/>
  <c r="R101" i="3"/>
  <c r="Q101" i="3"/>
  <c r="O101" i="3"/>
  <c r="N101" i="3"/>
  <c r="R100" i="3"/>
  <c r="Q100" i="3"/>
  <c r="T100" i="3" s="1"/>
  <c r="V100" i="3" s="1"/>
  <c r="O100" i="3"/>
  <c r="N100" i="3"/>
  <c r="R99" i="3"/>
  <c r="Q99" i="3"/>
  <c r="O99" i="3"/>
  <c r="N99" i="3"/>
  <c r="R98" i="3"/>
  <c r="T98" i="3" s="1"/>
  <c r="V98" i="3" s="1"/>
  <c r="Q98" i="3"/>
  <c r="O98" i="3"/>
  <c r="N98" i="3"/>
  <c r="R97" i="3"/>
  <c r="Q97" i="3"/>
  <c r="O97" i="3"/>
  <c r="N97" i="3"/>
  <c r="R96" i="3"/>
  <c r="Q96" i="3"/>
  <c r="O96" i="3"/>
  <c r="N96" i="3"/>
  <c r="R95" i="3"/>
  <c r="Q95" i="3"/>
  <c r="T95" i="3" s="1"/>
  <c r="V95" i="3" s="1"/>
  <c r="O95" i="3"/>
  <c r="N95" i="3"/>
  <c r="R94" i="3"/>
  <c r="Q94" i="3"/>
  <c r="O94" i="3"/>
  <c r="N94" i="3"/>
  <c r="R93" i="3"/>
  <c r="Q93" i="3"/>
  <c r="O93" i="3"/>
  <c r="N93" i="3"/>
  <c r="R92" i="3"/>
  <c r="Q92" i="3"/>
  <c r="O92" i="3"/>
  <c r="N92" i="3"/>
  <c r="R91" i="3"/>
  <c r="Q91" i="3"/>
  <c r="O91" i="3"/>
  <c r="N91" i="3"/>
  <c r="R90" i="3"/>
  <c r="T90" i="3" s="1"/>
  <c r="V90" i="3" s="1"/>
  <c r="Q90" i="3"/>
  <c r="O90" i="3"/>
  <c r="N90" i="3"/>
  <c r="R89" i="3"/>
  <c r="Q89" i="3"/>
  <c r="O89" i="3"/>
  <c r="N89" i="3"/>
  <c r="R88" i="3"/>
  <c r="Q88" i="3"/>
  <c r="O88" i="3"/>
  <c r="N88" i="3"/>
  <c r="R87" i="3"/>
  <c r="Q87" i="3"/>
  <c r="O87" i="3"/>
  <c r="N87" i="3"/>
  <c r="R86" i="3"/>
  <c r="Q86" i="3"/>
  <c r="O86" i="3"/>
  <c r="N86" i="3"/>
  <c r="R85" i="3"/>
  <c r="Q85" i="3"/>
  <c r="O85" i="3"/>
  <c r="N85" i="3"/>
  <c r="R84" i="3"/>
  <c r="Q84" i="3"/>
  <c r="O84" i="3"/>
  <c r="N84" i="3"/>
  <c r="R83" i="3"/>
  <c r="Q83" i="3"/>
  <c r="O83" i="3"/>
  <c r="N83" i="3"/>
  <c r="R82" i="3"/>
  <c r="T82" i="3" s="1"/>
  <c r="V82" i="3" s="1"/>
  <c r="Q82" i="3"/>
  <c r="O82" i="3"/>
  <c r="N82" i="3"/>
  <c r="R81" i="3"/>
  <c r="Q81" i="3"/>
  <c r="O81" i="3"/>
  <c r="N81" i="3"/>
  <c r="R80" i="3"/>
  <c r="Q80" i="3"/>
  <c r="O80" i="3"/>
  <c r="N80" i="3"/>
  <c r="R79" i="3"/>
  <c r="Q79" i="3"/>
  <c r="O79" i="3"/>
  <c r="N79" i="3"/>
  <c r="R78" i="3"/>
  <c r="Q78" i="3"/>
  <c r="O78" i="3"/>
  <c r="N78" i="3"/>
  <c r="R77" i="3"/>
  <c r="Q77" i="3"/>
  <c r="O77" i="3"/>
  <c r="N77" i="3"/>
  <c r="R76" i="3"/>
  <c r="Q76" i="3"/>
  <c r="O76" i="3"/>
  <c r="N76" i="3"/>
  <c r="R75" i="3"/>
  <c r="Q75" i="3"/>
  <c r="T75" i="3"/>
  <c r="V75" i="3" s="1"/>
  <c r="O75" i="3"/>
  <c r="N75" i="3"/>
  <c r="R74" i="3"/>
  <c r="Q74" i="3"/>
  <c r="T74" i="3" s="1"/>
  <c r="V74" i="3" s="1"/>
  <c r="O74" i="3"/>
  <c r="N74" i="3"/>
  <c r="R73" i="3"/>
  <c r="Q73" i="3"/>
  <c r="O73" i="3"/>
  <c r="N73" i="3"/>
  <c r="T73" i="3" s="1"/>
  <c r="V73" i="3" s="1"/>
  <c r="R72" i="3"/>
  <c r="Q72" i="3"/>
  <c r="O72" i="3"/>
  <c r="N72" i="3"/>
  <c r="R71" i="3"/>
  <c r="Q71" i="3"/>
  <c r="O71" i="3"/>
  <c r="N71" i="3"/>
  <c r="R70" i="3"/>
  <c r="Q70" i="3"/>
  <c r="O70" i="3"/>
  <c r="N70" i="3"/>
  <c r="R69" i="3"/>
  <c r="Q69" i="3"/>
  <c r="O69" i="3"/>
  <c r="N69" i="3"/>
  <c r="R68" i="3"/>
  <c r="Q68" i="3"/>
  <c r="O68" i="3"/>
  <c r="N68" i="3"/>
  <c r="T67" i="3"/>
  <c r="V67" i="3" s="1"/>
  <c r="R67" i="3"/>
  <c r="Q67" i="3"/>
  <c r="O67" i="3"/>
  <c r="N67" i="3"/>
  <c r="R66" i="3"/>
  <c r="Q66" i="3"/>
  <c r="T66" i="3"/>
  <c r="V66" i="3" s="1"/>
  <c r="O66" i="3"/>
  <c r="N66" i="3"/>
  <c r="R65" i="3"/>
  <c r="Q65" i="3"/>
  <c r="O65" i="3"/>
  <c r="N65" i="3"/>
  <c r="T65" i="3" s="1"/>
  <c r="V65" i="3" s="1"/>
  <c r="R64" i="3"/>
  <c r="Q64" i="3"/>
  <c r="O64" i="3"/>
  <c r="N64" i="3"/>
  <c r="R63" i="3"/>
  <c r="Q63" i="3"/>
  <c r="O63" i="3"/>
  <c r="N63" i="3"/>
  <c r="R62" i="3"/>
  <c r="Q62" i="3"/>
  <c r="O62" i="3"/>
  <c r="N62" i="3"/>
  <c r="R61" i="3"/>
  <c r="Q61" i="3"/>
  <c r="O61" i="3"/>
  <c r="N61" i="3"/>
  <c r="R60" i="3"/>
  <c r="Q60" i="3"/>
  <c r="O60" i="3"/>
  <c r="N60" i="3"/>
  <c r="R59" i="3"/>
  <c r="Q59" i="3"/>
  <c r="O59" i="3"/>
  <c r="N59" i="3"/>
  <c r="T59" i="3" s="1"/>
  <c r="V59" i="3" s="1"/>
  <c r="T58" i="3"/>
  <c r="V58" i="3" s="1"/>
  <c r="R58" i="3"/>
  <c r="Q58" i="3"/>
  <c r="O58" i="3"/>
  <c r="N58" i="3"/>
  <c r="R57" i="3"/>
  <c r="Q57" i="3"/>
  <c r="O57" i="3"/>
  <c r="N57" i="3"/>
  <c r="R56" i="3"/>
  <c r="Q56" i="3"/>
  <c r="O56" i="3"/>
  <c r="N56" i="3"/>
  <c r="R55" i="3"/>
  <c r="Q55" i="3"/>
  <c r="O55" i="3"/>
  <c r="N55" i="3"/>
  <c r="R54" i="3"/>
  <c r="Q54" i="3"/>
  <c r="O54" i="3"/>
  <c r="N54" i="3"/>
  <c r="R53" i="3"/>
  <c r="Q53" i="3"/>
  <c r="O53" i="3"/>
  <c r="N53" i="3"/>
  <c r="R52" i="3"/>
  <c r="Q52" i="3"/>
  <c r="O52" i="3"/>
  <c r="N52" i="3"/>
  <c r="R51" i="3"/>
  <c r="Q51" i="3"/>
  <c r="T51" i="3" s="1"/>
  <c r="V51" i="3" s="1"/>
  <c r="O51" i="3"/>
  <c r="N51" i="3"/>
  <c r="R50" i="3"/>
  <c r="Q50" i="3"/>
  <c r="O50" i="3"/>
  <c r="N50" i="3"/>
  <c r="T50" i="3" s="1"/>
  <c r="V50" i="3" s="1"/>
  <c r="R49" i="3"/>
  <c r="Q49" i="3"/>
  <c r="O49" i="3"/>
  <c r="N49" i="3"/>
  <c r="R48" i="3"/>
  <c r="Q48" i="3"/>
  <c r="O48" i="3"/>
  <c r="N48" i="3"/>
  <c r="R47" i="3"/>
  <c r="Q47" i="3"/>
  <c r="O47" i="3"/>
  <c r="N47" i="3"/>
  <c r="R46" i="3"/>
  <c r="Q46" i="3"/>
  <c r="O46" i="3"/>
  <c r="N46" i="3"/>
  <c r="R45" i="3"/>
  <c r="Q45" i="3"/>
  <c r="O45" i="3"/>
  <c r="N45" i="3"/>
  <c r="R44" i="3"/>
  <c r="Q44" i="3"/>
  <c r="O44" i="3"/>
  <c r="N44" i="3"/>
  <c r="R43" i="3"/>
  <c r="Q43" i="3"/>
  <c r="T43" i="3" s="1"/>
  <c r="V43" i="3" s="1"/>
  <c r="O43" i="3"/>
  <c r="N43" i="3"/>
  <c r="R42" i="3"/>
  <c r="Q42" i="3"/>
  <c r="O42" i="3"/>
  <c r="N42" i="3"/>
  <c r="R41" i="3"/>
  <c r="Q41" i="3"/>
  <c r="O41" i="3"/>
  <c r="N41" i="3"/>
  <c r="T41" i="3" s="1"/>
  <c r="V41" i="3" s="1"/>
  <c r="R40" i="3"/>
  <c r="Q40" i="3"/>
  <c r="O40" i="3"/>
  <c r="N40" i="3"/>
  <c r="R39" i="3"/>
  <c r="Q39" i="3"/>
  <c r="O39" i="3"/>
  <c r="N39" i="3"/>
  <c r="R38" i="3"/>
  <c r="Q38" i="3"/>
  <c r="O38" i="3"/>
  <c r="N38" i="3"/>
  <c r="R37" i="3"/>
  <c r="Q37" i="3"/>
  <c r="O37" i="3"/>
  <c r="N37" i="3"/>
  <c r="R36" i="3"/>
  <c r="Q36" i="3"/>
  <c r="O36" i="3"/>
  <c r="N36" i="3"/>
  <c r="R35" i="3"/>
  <c r="T35" i="3" s="1"/>
  <c r="V35" i="3" s="1"/>
  <c r="Q35" i="3"/>
  <c r="O35" i="3"/>
  <c r="N35" i="3"/>
  <c r="R34" i="3"/>
  <c r="Q34" i="3"/>
  <c r="T34" i="3" s="1"/>
  <c r="V34" i="3" s="1"/>
  <c r="O34" i="3"/>
  <c r="N34" i="3"/>
  <c r="R33" i="3"/>
  <c r="Q33" i="3"/>
  <c r="O33" i="3"/>
  <c r="N33" i="3"/>
  <c r="R32" i="3"/>
  <c r="Q32" i="3"/>
  <c r="O32" i="3"/>
  <c r="N32" i="3"/>
  <c r="R31" i="3"/>
  <c r="Q31" i="3"/>
  <c r="O31" i="3"/>
  <c r="N31" i="3"/>
  <c r="R30" i="3"/>
  <c r="Q30" i="3"/>
  <c r="O30" i="3"/>
  <c r="N30" i="3"/>
  <c r="R29" i="3"/>
  <c r="Q29" i="3"/>
  <c r="O29" i="3"/>
  <c r="N29" i="3"/>
  <c r="R28" i="3"/>
  <c r="Q28" i="3"/>
  <c r="O28" i="3"/>
  <c r="N28" i="3"/>
  <c r="R27" i="3"/>
  <c r="Q27" i="3"/>
  <c r="O27" i="3"/>
  <c r="N27" i="3"/>
  <c r="R26" i="3"/>
  <c r="T26" i="3" s="1"/>
  <c r="V26" i="3" s="1"/>
  <c r="Q26" i="3"/>
  <c r="O26" i="3"/>
  <c r="N26" i="3"/>
  <c r="R25" i="3"/>
  <c r="Q25" i="3"/>
  <c r="O25" i="3"/>
  <c r="N25" i="3"/>
  <c r="R24" i="3"/>
  <c r="Q24" i="3"/>
  <c r="O24" i="3"/>
  <c r="N24" i="3"/>
  <c r="R23" i="3"/>
  <c r="Q23" i="3"/>
  <c r="O23" i="3"/>
  <c r="N23" i="3"/>
  <c r="R22" i="3"/>
  <c r="Q22" i="3"/>
  <c r="O22" i="3"/>
  <c r="N22" i="3"/>
  <c r="R21" i="3"/>
  <c r="Q21" i="3"/>
  <c r="O21" i="3"/>
  <c r="N21" i="3"/>
  <c r="R20" i="3"/>
  <c r="Q20" i="3"/>
  <c r="O20" i="3"/>
  <c r="N20" i="3"/>
  <c r="R19" i="3"/>
  <c r="Q19" i="3"/>
  <c r="T19" i="3" s="1"/>
  <c r="V19" i="3" s="1"/>
  <c r="O19" i="3"/>
  <c r="N19" i="3"/>
  <c r="R18" i="3"/>
  <c r="T18" i="3" s="1"/>
  <c r="V18" i="3" s="1"/>
  <c r="Q18" i="3"/>
  <c r="O18" i="3"/>
  <c r="N18" i="3"/>
  <c r="R17" i="3"/>
  <c r="Q17" i="3"/>
  <c r="O17" i="3"/>
  <c r="N17" i="3"/>
  <c r="R16" i="3"/>
  <c r="Q16" i="3"/>
  <c r="O16" i="3"/>
  <c r="N16" i="3"/>
  <c r="R15" i="3"/>
  <c r="Q15" i="3"/>
  <c r="O15" i="3"/>
  <c r="N15" i="3"/>
  <c r="R14" i="3"/>
  <c r="Q14" i="3"/>
  <c r="O14" i="3"/>
  <c r="N14" i="3"/>
  <c r="R13" i="3"/>
  <c r="Q13" i="3"/>
  <c r="O13" i="3"/>
  <c r="N13" i="3"/>
  <c r="R12" i="3"/>
  <c r="Q12" i="3"/>
  <c r="O12" i="3"/>
  <c r="N12" i="3"/>
  <c r="R11" i="3"/>
  <c r="Q11" i="3"/>
  <c r="T11" i="3"/>
  <c r="V11" i="3" s="1"/>
  <c r="O11" i="3"/>
  <c r="N11" i="3"/>
  <c r="R10" i="3"/>
  <c r="Q10" i="3"/>
  <c r="O10" i="3"/>
  <c r="N10" i="3"/>
  <c r="R9" i="3"/>
  <c r="Q9" i="3"/>
  <c r="O9" i="3"/>
  <c r="N9" i="3"/>
  <c r="T9" i="3" s="1"/>
  <c r="V9" i="3" s="1"/>
  <c r="R8" i="3"/>
  <c r="Q8" i="3"/>
  <c r="T8" i="3" s="1"/>
  <c r="V8" i="3" s="1"/>
  <c r="O8" i="3"/>
  <c r="N8" i="3"/>
  <c r="R7" i="3"/>
  <c r="Q7" i="3"/>
  <c r="O7" i="3"/>
  <c r="N7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R6" i="3"/>
  <c r="Q6" i="3"/>
  <c r="O6" i="3"/>
  <c r="N6" i="3"/>
  <c r="R5" i="3"/>
  <c r="Q5" i="3"/>
  <c r="O5" i="3"/>
  <c r="N5" i="3"/>
  <c r="R4" i="3"/>
  <c r="Q4" i="3"/>
  <c r="O4" i="3"/>
  <c r="N4" i="3"/>
  <c r="R3" i="3"/>
  <c r="Q3" i="3"/>
  <c r="O3" i="3"/>
  <c r="N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R2" i="3"/>
  <c r="Q2" i="3"/>
  <c r="P2" i="3"/>
  <c r="O2" i="3"/>
  <c r="N2" i="3"/>
  <c r="R157" i="2"/>
  <c r="Q157" i="2"/>
  <c r="O157" i="2"/>
  <c r="N157" i="2"/>
  <c r="R156" i="2"/>
  <c r="Q156" i="2"/>
  <c r="O156" i="2"/>
  <c r="N156" i="2"/>
  <c r="R155" i="2"/>
  <c r="Q155" i="2"/>
  <c r="O155" i="2"/>
  <c r="N155" i="2"/>
  <c r="R154" i="2"/>
  <c r="Q154" i="2"/>
  <c r="O154" i="2"/>
  <c r="N154" i="2"/>
  <c r="R153" i="2"/>
  <c r="Q153" i="2"/>
  <c r="O153" i="2"/>
  <c r="N153" i="2"/>
  <c r="R152" i="2"/>
  <c r="Q152" i="2"/>
  <c r="T152" i="2" s="1"/>
  <c r="O152" i="2"/>
  <c r="N152" i="2"/>
  <c r="R151" i="2"/>
  <c r="Q151" i="2"/>
  <c r="O151" i="2"/>
  <c r="N151" i="2"/>
  <c r="R150" i="2"/>
  <c r="Q150" i="2"/>
  <c r="T150" i="2" s="1"/>
  <c r="O150" i="2"/>
  <c r="N150" i="2"/>
  <c r="R149" i="2"/>
  <c r="Q149" i="2"/>
  <c r="O149" i="2"/>
  <c r="N149" i="2"/>
  <c r="R148" i="2"/>
  <c r="Q148" i="2"/>
  <c r="O148" i="2"/>
  <c r="N148" i="2"/>
  <c r="R147" i="2"/>
  <c r="Q147" i="2"/>
  <c r="T147" i="2" s="1"/>
  <c r="V147" i="2" s="1"/>
  <c r="O147" i="2"/>
  <c r="N147" i="2"/>
  <c r="R146" i="2"/>
  <c r="Q146" i="2"/>
  <c r="O146" i="2"/>
  <c r="N146" i="2"/>
  <c r="R145" i="2"/>
  <c r="Q145" i="2"/>
  <c r="O145" i="2"/>
  <c r="N145" i="2"/>
  <c r="R144" i="2"/>
  <c r="Q144" i="2"/>
  <c r="T144" i="2" s="1"/>
  <c r="O144" i="2"/>
  <c r="N144" i="2"/>
  <c r="R143" i="2"/>
  <c r="Q143" i="2"/>
  <c r="O143" i="2"/>
  <c r="N143" i="2"/>
  <c r="R142" i="2"/>
  <c r="Q142" i="2"/>
  <c r="T142" i="2" s="1"/>
  <c r="O142" i="2"/>
  <c r="N142" i="2"/>
  <c r="R141" i="2"/>
  <c r="Q141" i="2"/>
  <c r="T141" i="2" s="1"/>
  <c r="O141" i="2"/>
  <c r="N141" i="2"/>
  <c r="R140" i="2"/>
  <c r="Q140" i="2"/>
  <c r="O140" i="2"/>
  <c r="N140" i="2"/>
  <c r="R139" i="2"/>
  <c r="Q139" i="2"/>
  <c r="O139" i="2"/>
  <c r="N139" i="2"/>
  <c r="R138" i="2"/>
  <c r="Q138" i="2"/>
  <c r="T138" i="2" s="1"/>
  <c r="O138" i="2"/>
  <c r="N138" i="2"/>
  <c r="R137" i="2"/>
  <c r="Q137" i="2"/>
  <c r="O137" i="2"/>
  <c r="N137" i="2"/>
  <c r="R136" i="2"/>
  <c r="Q136" i="2"/>
  <c r="T136" i="2" s="1"/>
  <c r="O136" i="2"/>
  <c r="N136" i="2"/>
  <c r="R135" i="2"/>
  <c r="Q135" i="2"/>
  <c r="O135" i="2"/>
  <c r="N135" i="2"/>
  <c r="R134" i="2"/>
  <c r="Q134" i="2"/>
  <c r="T134" i="2" s="1"/>
  <c r="O134" i="2"/>
  <c r="N134" i="2"/>
  <c r="R133" i="2"/>
  <c r="Q133" i="2"/>
  <c r="T133" i="2" s="1"/>
  <c r="O133" i="2"/>
  <c r="N133" i="2"/>
  <c r="R132" i="2"/>
  <c r="Q132" i="2"/>
  <c r="T132" i="2" s="1"/>
  <c r="O132" i="2"/>
  <c r="N132" i="2"/>
  <c r="R131" i="2"/>
  <c r="Q131" i="2"/>
  <c r="O131" i="2"/>
  <c r="N131" i="2"/>
  <c r="R130" i="2"/>
  <c r="Q130" i="2"/>
  <c r="T130" i="2" s="1"/>
  <c r="O130" i="2"/>
  <c r="N130" i="2"/>
  <c r="R129" i="2"/>
  <c r="Q129" i="2"/>
  <c r="O129" i="2"/>
  <c r="N129" i="2"/>
  <c r="R128" i="2"/>
  <c r="Q128" i="2"/>
  <c r="O128" i="2"/>
  <c r="N128" i="2"/>
  <c r="R127" i="2"/>
  <c r="Q127" i="2"/>
  <c r="T127" i="2" s="1"/>
  <c r="O127" i="2"/>
  <c r="N127" i="2"/>
  <c r="R126" i="2"/>
  <c r="Q126" i="2"/>
  <c r="O126" i="2"/>
  <c r="N126" i="2"/>
  <c r="R125" i="2"/>
  <c r="Q125" i="2"/>
  <c r="O125" i="2"/>
  <c r="N125" i="2"/>
  <c r="R124" i="2"/>
  <c r="Q124" i="2"/>
  <c r="O124" i="2"/>
  <c r="N124" i="2"/>
  <c r="R123" i="2"/>
  <c r="Q123" i="2"/>
  <c r="O123" i="2"/>
  <c r="N123" i="2"/>
  <c r="R122" i="2"/>
  <c r="Q122" i="2"/>
  <c r="O122" i="2"/>
  <c r="N122" i="2"/>
  <c r="R121" i="2"/>
  <c r="Q121" i="2"/>
  <c r="T121" i="2" s="1"/>
  <c r="O121" i="2"/>
  <c r="N121" i="2"/>
  <c r="R120" i="2"/>
  <c r="Q120" i="2"/>
  <c r="T120" i="2" s="1"/>
  <c r="O120" i="2"/>
  <c r="N120" i="2"/>
  <c r="R119" i="2"/>
  <c r="Q119" i="2"/>
  <c r="T119" i="2" s="1"/>
  <c r="O119" i="2"/>
  <c r="N119" i="2"/>
  <c r="R118" i="2"/>
  <c r="Q118" i="2"/>
  <c r="T118" i="2" s="1"/>
  <c r="O118" i="2"/>
  <c r="N118" i="2"/>
  <c r="R117" i="2"/>
  <c r="Q117" i="2"/>
  <c r="T117" i="2" s="1"/>
  <c r="O117" i="2"/>
  <c r="N117" i="2"/>
  <c r="R116" i="2"/>
  <c r="Q116" i="2"/>
  <c r="T116" i="2" s="1"/>
  <c r="O116" i="2"/>
  <c r="N116" i="2"/>
  <c r="R115" i="2"/>
  <c r="Q115" i="2"/>
  <c r="T115" i="2" s="1"/>
  <c r="V115" i="2" s="1"/>
  <c r="O115" i="2"/>
  <c r="N115" i="2"/>
  <c r="R114" i="2"/>
  <c r="Q114" i="2"/>
  <c r="T114" i="2" s="1"/>
  <c r="O114" i="2"/>
  <c r="N114" i="2"/>
  <c r="R113" i="2"/>
  <c r="Q113" i="2"/>
  <c r="O113" i="2"/>
  <c r="N113" i="2"/>
  <c r="R112" i="2"/>
  <c r="Q112" i="2"/>
  <c r="T112" i="2" s="1"/>
  <c r="O112" i="2"/>
  <c r="N112" i="2"/>
  <c r="R111" i="2"/>
  <c r="Q111" i="2"/>
  <c r="T111" i="2" s="1"/>
  <c r="O111" i="2"/>
  <c r="N111" i="2"/>
  <c r="R110" i="2"/>
  <c r="Q110" i="2"/>
  <c r="T110" i="2" s="1"/>
  <c r="O110" i="2"/>
  <c r="N110" i="2"/>
  <c r="R109" i="2"/>
  <c r="Q109" i="2"/>
  <c r="O109" i="2"/>
  <c r="N109" i="2"/>
  <c r="R108" i="2"/>
  <c r="Q108" i="2"/>
  <c r="O108" i="2"/>
  <c r="N108" i="2"/>
  <c r="R107" i="2"/>
  <c r="Q107" i="2"/>
  <c r="O107" i="2"/>
  <c r="N107" i="2"/>
  <c r="R106" i="2"/>
  <c r="Q106" i="2"/>
  <c r="O106" i="2"/>
  <c r="N106" i="2"/>
  <c r="R105" i="2"/>
  <c r="Q105" i="2"/>
  <c r="O105" i="2"/>
  <c r="N105" i="2"/>
  <c r="R104" i="2"/>
  <c r="Q104" i="2"/>
  <c r="T104" i="2" s="1"/>
  <c r="O104" i="2"/>
  <c r="N104" i="2"/>
  <c r="R103" i="2"/>
  <c r="Q103" i="2"/>
  <c r="O103" i="2"/>
  <c r="N103" i="2"/>
  <c r="R102" i="2"/>
  <c r="Q102" i="2"/>
  <c r="T102" i="2" s="1"/>
  <c r="O102" i="2"/>
  <c r="N102" i="2"/>
  <c r="R101" i="2"/>
  <c r="Q101" i="2"/>
  <c r="O101" i="2"/>
  <c r="N101" i="2"/>
  <c r="R100" i="2"/>
  <c r="Q100" i="2"/>
  <c r="O100" i="2"/>
  <c r="N100" i="2"/>
  <c r="R99" i="2"/>
  <c r="Q99" i="2"/>
  <c r="T99" i="2" s="1"/>
  <c r="V99" i="2" s="1"/>
  <c r="O99" i="2"/>
  <c r="N99" i="2"/>
  <c r="R98" i="2"/>
  <c r="Q98" i="2"/>
  <c r="O98" i="2"/>
  <c r="N98" i="2"/>
  <c r="R97" i="2"/>
  <c r="Q97" i="2"/>
  <c r="O97" i="2"/>
  <c r="N97" i="2"/>
  <c r="R96" i="2"/>
  <c r="Q96" i="2"/>
  <c r="O96" i="2"/>
  <c r="N96" i="2"/>
  <c r="R95" i="2"/>
  <c r="Q95" i="2"/>
  <c r="O95" i="2"/>
  <c r="N95" i="2"/>
  <c r="R94" i="2"/>
  <c r="Q94" i="2"/>
  <c r="T94" i="2" s="1"/>
  <c r="O94" i="2"/>
  <c r="N94" i="2"/>
  <c r="R93" i="2"/>
  <c r="Q93" i="2"/>
  <c r="O93" i="2"/>
  <c r="N93" i="2"/>
  <c r="R92" i="2"/>
  <c r="Q92" i="2"/>
  <c r="O92" i="2"/>
  <c r="N92" i="2"/>
  <c r="R91" i="2"/>
  <c r="Q91" i="2"/>
  <c r="T91" i="2" s="1"/>
  <c r="V91" i="2" s="1"/>
  <c r="O91" i="2"/>
  <c r="N91" i="2"/>
  <c r="R90" i="2"/>
  <c r="Q90" i="2"/>
  <c r="O90" i="2"/>
  <c r="N90" i="2"/>
  <c r="R89" i="2"/>
  <c r="Q89" i="2"/>
  <c r="O89" i="2"/>
  <c r="N89" i="2"/>
  <c r="R88" i="2"/>
  <c r="Q88" i="2"/>
  <c r="O88" i="2"/>
  <c r="N88" i="2"/>
  <c r="R87" i="2"/>
  <c r="Q87" i="2"/>
  <c r="O87" i="2"/>
  <c r="N87" i="2"/>
  <c r="R86" i="2"/>
  <c r="Q86" i="2"/>
  <c r="T86" i="2" s="1"/>
  <c r="O86" i="2"/>
  <c r="N86" i="2"/>
  <c r="R85" i="2"/>
  <c r="Q85" i="2"/>
  <c r="T85" i="2" s="1"/>
  <c r="O85" i="2"/>
  <c r="N85" i="2"/>
  <c r="R84" i="2"/>
  <c r="Q84" i="2"/>
  <c r="O84" i="2"/>
  <c r="N84" i="2"/>
  <c r="V83" i="2"/>
  <c r="R83" i="2"/>
  <c r="Q83" i="2"/>
  <c r="T83" i="2" s="1"/>
  <c r="O83" i="2"/>
  <c r="N83" i="2"/>
  <c r="R82" i="2"/>
  <c r="Q82" i="2"/>
  <c r="T82" i="2" s="1"/>
  <c r="O82" i="2"/>
  <c r="N82" i="2"/>
  <c r="R81" i="2"/>
  <c r="Q81" i="2"/>
  <c r="O81" i="2"/>
  <c r="N81" i="2"/>
  <c r="R80" i="2"/>
  <c r="Q80" i="2"/>
  <c r="O80" i="2"/>
  <c r="N80" i="2"/>
  <c r="R79" i="2"/>
  <c r="Q79" i="2"/>
  <c r="O79" i="2"/>
  <c r="N79" i="2"/>
  <c r="R78" i="2"/>
  <c r="Q78" i="2"/>
  <c r="O78" i="2"/>
  <c r="N78" i="2"/>
  <c r="R77" i="2"/>
  <c r="Q77" i="2"/>
  <c r="T77" i="2" s="1"/>
  <c r="O77" i="2"/>
  <c r="N77" i="2"/>
  <c r="R76" i="2"/>
  <c r="Q76" i="2"/>
  <c r="O76" i="2"/>
  <c r="N76" i="2"/>
  <c r="R75" i="2"/>
  <c r="Q75" i="2"/>
  <c r="O75" i="2"/>
  <c r="N75" i="2"/>
  <c r="R74" i="2"/>
  <c r="Q74" i="2"/>
  <c r="T74" i="2" s="1"/>
  <c r="O74" i="2"/>
  <c r="N74" i="2"/>
  <c r="R73" i="2"/>
  <c r="Q73" i="2"/>
  <c r="O73" i="2"/>
  <c r="N73" i="2"/>
  <c r="R72" i="2"/>
  <c r="Q72" i="2"/>
  <c r="O72" i="2"/>
  <c r="N72" i="2"/>
  <c r="R71" i="2"/>
  <c r="Q71" i="2"/>
  <c r="O71" i="2"/>
  <c r="N71" i="2"/>
  <c r="R70" i="2"/>
  <c r="Q70" i="2"/>
  <c r="O70" i="2"/>
  <c r="N70" i="2"/>
  <c r="R69" i="2"/>
  <c r="Q69" i="2"/>
  <c r="T69" i="2" s="1"/>
  <c r="O69" i="2"/>
  <c r="N69" i="2"/>
  <c r="R68" i="2"/>
  <c r="Q68" i="2"/>
  <c r="O68" i="2"/>
  <c r="N68" i="2"/>
  <c r="R67" i="2"/>
  <c r="Q67" i="2"/>
  <c r="O67" i="2"/>
  <c r="N67" i="2"/>
  <c r="R66" i="2"/>
  <c r="Q66" i="2"/>
  <c r="T66" i="2" s="1"/>
  <c r="O66" i="2"/>
  <c r="N66" i="2"/>
  <c r="R65" i="2"/>
  <c r="Q65" i="2"/>
  <c r="O65" i="2"/>
  <c r="N65" i="2"/>
  <c r="R64" i="2"/>
  <c r="Q64" i="2"/>
  <c r="O64" i="2"/>
  <c r="N64" i="2"/>
  <c r="R63" i="2"/>
  <c r="Q63" i="2"/>
  <c r="O63" i="2"/>
  <c r="N63" i="2"/>
  <c r="R62" i="2"/>
  <c r="Q62" i="2"/>
  <c r="O62" i="2"/>
  <c r="N62" i="2"/>
  <c r="R61" i="2"/>
  <c r="Q61" i="2"/>
  <c r="T61" i="2" s="1"/>
  <c r="O61" i="2"/>
  <c r="N61" i="2"/>
  <c r="R60" i="2"/>
  <c r="Q60" i="2"/>
  <c r="O60" i="2"/>
  <c r="N60" i="2"/>
  <c r="R59" i="2"/>
  <c r="Q59" i="2"/>
  <c r="O59" i="2"/>
  <c r="N59" i="2"/>
  <c r="R58" i="2"/>
  <c r="Q58" i="2"/>
  <c r="T58" i="2" s="1"/>
  <c r="O58" i="2"/>
  <c r="N58" i="2"/>
  <c r="R57" i="2"/>
  <c r="Q57" i="2"/>
  <c r="O57" i="2"/>
  <c r="N57" i="2"/>
  <c r="R56" i="2"/>
  <c r="Q56" i="2"/>
  <c r="T56" i="2" s="1"/>
  <c r="O56" i="2"/>
  <c r="N56" i="2"/>
  <c r="R55" i="2"/>
  <c r="Q55" i="2"/>
  <c r="T55" i="2" s="1"/>
  <c r="O55" i="2"/>
  <c r="N55" i="2"/>
  <c r="R54" i="2"/>
  <c r="Q54" i="2"/>
  <c r="O54" i="2"/>
  <c r="N54" i="2"/>
  <c r="R53" i="2"/>
  <c r="Q53" i="2"/>
  <c r="O53" i="2"/>
  <c r="N53" i="2"/>
  <c r="R52" i="2"/>
  <c r="Q52" i="2"/>
  <c r="O52" i="2"/>
  <c r="N52" i="2"/>
  <c r="R51" i="2"/>
  <c r="Q51" i="2"/>
  <c r="T51" i="2" s="1"/>
  <c r="V51" i="2" s="1"/>
  <c r="O51" i="2"/>
  <c r="N51" i="2"/>
  <c r="R50" i="2"/>
  <c r="Q50" i="2"/>
  <c r="T50" i="2" s="1"/>
  <c r="O50" i="2"/>
  <c r="N50" i="2"/>
  <c r="R49" i="2"/>
  <c r="Q49" i="2"/>
  <c r="T49" i="2" s="1"/>
  <c r="O49" i="2"/>
  <c r="N49" i="2"/>
  <c r="R48" i="2"/>
  <c r="Q48" i="2"/>
  <c r="T48" i="2" s="1"/>
  <c r="O48" i="2"/>
  <c r="N48" i="2"/>
  <c r="R47" i="2"/>
  <c r="Q47" i="2"/>
  <c r="T47" i="2" s="1"/>
  <c r="O47" i="2"/>
  <c r="N47" i="2"/>
  <c r="R46" i="2"/>
  <c r="Q46" i="2"/>
  <c r="T46" i="2" s="1"/>
  <c r="O46" i="2"/>
  <c r="N46" i="2"/>
  <c r="R45" i="2"/>
  <c r="Q45" i="2"/>
  <c r="T45" i="2" s="1"/>
  <c r="O45" i="2"/>
  <c r="N45" i="2"/>
  <c r="R44" i="2"/>
  <c r="Q44" i="2"/>
  <c r="O44" i="2"/>
  <c r="N44" i="2"/>
  <c r="V43" i="2"/>
  <c r="R43" i="2"/>
  <c r="Q43" i="2"/>
  <c r="T43" i="2" s="1"/>
  <c r="O43" i="2"/>
  <c r="N43" i="2"/>
  <c r="R42" i="2"/>
  <c r="Q42" i="2"/>
  <c r="T42" i="2" s="1"/>
  <c r="O42" i="2"/>
  <c r="N42" i="2"/>
  <c r="R41" i="2"/>
  <c r="Q41" i="2"/>
  <c r="T41" i="2" s="1"/>
  <c r="O41" i="2"/>
  <c r="N41" i="2"/>
  <c r="R40" i="2"/>
  <c r="Q40" i="2"/>
  <c r="O40" i="2"/>
  <c r="N40" i="2"/>
  <c r="R39" i="2"/>
  <c r="Q39" i="2"/>
  <c r="T39" i="2" s="1"/>
  <c r="O39" i="2"/>
  <c r="N39" i="2"/>
  <c r="R38" i="2"/>
  <c r="Q38" i="2"/>
  <c r="T38" i="2" s="1"/>
  <c r="O38" i="2"/>
  <c r="N38" i="2"/>
  <c r="R37" i="2"/>
  <c r="Q37" i="2"/>
  <c r="T37" i="2" s="1"/>
  <c r="O37" i="2"/>
  <c r="N37" i="2"/>
  <c r="R36" i="2"/>
  <c r="Q36" i="2"/>
  <c r="O36" i="2"/>
  <c r="N36" i="2"/>
  <c r="R35" i="2"/>
  <c r="Q35" i="2"/>
  <c r="O35" i="2"/>
  <c r="N35" i="2"/>
  <c r="R34" i="2"/>
  <c r="Q34" i="2"/>
  <c r="O34" i="2"/>
  <c r="N34" i="2"/>
  <c r="R33" i="2"/>
  <c r="Q33" i="2"/>
  <c r="T33" i="2" s="1"/>
  <c r="O33" i="2"/>
  <c r="N33" i="2"/>
  <c r="R32" i="2"/>
  <c r="Q32" i="2"/>
  <c r="T32" i="2" s="1"/>
  <c r="O32" i="2"/>
  <c r="N32" i="2"/>
  <c r="R31" i="2"/>
  <c r="Q31" i="2"/>
  <c r="T31" i="2" s="1"/>
  <c r="O31" i="2"/>
  <c r="N31" i="2"/>
  <c r="R30" i="2"/>
  <c r="Q30" i="2"/>
  <c r="T30" i="2" s="1"/>
  <c r="O30" i="2"/>
  <c r="N30" i="2"/>
  <c r="R29" i="2"/>
  <c r="Q29" i="2"/>
  <c r="T29" i="2" s="1"/>
  <c r="O29" i="2"/>
  <c r="N29" i="2"/>
  <c r="R28" i="2"/>
  <c r="Q28" i="2"/>
  <c r="O28" i="2"/>
  <c r="N28" i="2"/>
  <c r="R27" i="2"/>
  <c r="Q27" i="2"/>
  <c r="T27" i="2" s="1"/>
  <c r="O27" i="2"/>
  <c r="N27" i="2"/>
  <c r="R26" i="2"/>
  <c r="Q26" i="2"/>
  <c r="T26" i="2" s="1"/>
  <c r="V26" i="2" s="1"/>
  <c r="O26" i="2"/>
  <c r="N26" i="2"/>
  <c r="R25" i="2"/>
  <c r="Q25" i="2"/>
  <c r="T25" i="2" s="1"/>
  <c r="V25" i="2" s="1"/>
  <c r="O25" i="2"/>
  <c r="N25" i="2"/>
  <c r="R24" i="2"/>
  <c r="Q24" i="2"/>
  <c r="O24" i="2"/>
  <c r="N24" i="2"/>
  <c r="R23" i="2"/>
  <c r="Q23" i="2"/>
  <c r="T23" i="2" s="1"/>
  <c r="O23" i="2"/>
  <c r="N23" i="2"/>
  <c r="R22" i="2"/>
  <c r="Q22" i="2"/>
  <c r="T22" i="2" s="1"/>
  <c r="O22" i="2"/>
  <c r="N22" i="2"/>
  <c r="R21" i="2"/>
  <c r="Q21" i="2"/>
  <c r="T21" i="2" s="1"/>
  <c r="O21" i="2"/>
  <c r="N21" i="2"/>
  <c r="R20" i="2"/>
  <c r="Q20" i="2"/>
  <c r="O20" i="2"/>
  <c r="N20" i="2"/>
  <c r="R19" i="2"/>
  <c r="Q19" i="2"/>
  <c r="O19" i="2"/>
  <c r="N19" i="2"/>
  <c r="R18" i="2"/>
  <c r="Q18" i="2"/>
  <c r="O18" i="2"/>
  <c r="N18" i="2"/>
  <c r="R17" i="2"/>
  <c r="Q17" i="2"/>
  <c r="T17" i="2" s="1"/>
  <c r="V17" i="2" s="1"/>
  <c r="O17" i="2"/>
  <c r="N17" i="2"/>
  <c r="R16" i="2"/>
  <c r="Q16" i="2"/>
  <c r="T16" i="2" s="1"/>
  <c r="O16" i="2"/>
  <c r="N16" i="2"/>
  <c r="R15" i="2"/>
  <c r="Q15" i="2"/>
  <c r="T15" i="2" s="1"/>
  <c r="O15" i="2"/>
  <c r="N15" i="2"/>
  <c r="R14" i="2"/>
  <c r="Q14" i="2"/>
  <c r="T14" i="2" s="1"/>
  <c r="O14" i="2"/>
  <c r="N14" i="2"/>
  <c r="R13" i="2"/>
  <c r="Q13" i="2"/>
  <c r="T13" i="2" s="1"/>
  <c r="O13" i="2"/>
  <c r="N13" i="2"/>
  <c r="R12" i="2"/>
  <c r="Q12" i="2"/>
  <c r="O12" i="2"/>
  <c r="N12" i="2"/>
  <c r="R11" i="2"/>
  <c r="Q11" i="2"/>
  <c r="O11" i="2"/>
  <c r="N11" i="2"/>
  <c r="R10" i="2"/>
  <c r="Q10" i="2"/>
  <c r="T10" i="2" s="1"/>
  <c r="O10" i="2"/>
  <c r="N10" i="2"/>
  <c r="R9" i="2"/>
  <c r="Q9" i="2"/>
  <c r="T9" i="2" s="1"/>
  <c r="V9" i="2" s="1"/>
  <c r="O9" i="2"/>
  <c r="N9" i="2"/>
  <c r="R8" i="2"/>
  <c r="Q8" i="2"/>
  <c r="O8" i="2"/>
  <c r="N8" i="2"/>
  <c r="R7" i="2"/>
  <c r="Q7" i="2"/>
  <c r="O7" i="2"/>
  <c r="N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R6" i="2"/>
  <c r="Q6" i="2"/>
  <c r="O6" i="2"/>
  <c r="N6" i="2"/>
  <c r="R5" i="2"/>
  <c r="Q5" i="2"/>
  <c r="T5" i="2" s="1"/>
  <c r="O5" i="2"/>
  <c r="N5" i="2"/>
  <c r="R4" i="2"/>
  <c r="Q4" i="2"/>
  <c r="O4" i="2"/>
  <c r="N4" i="2"/>
  <c r="R3" i="2"/>
  <c r="Q3" i="2"/>
  <c r="O3" i="2"/>
  <c r="N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R2" i="2"/>
  <c r="Q2" i="2"/>
  <c r="T2" i="2" s="1"/>
  <c r="P2" i="2"/>
  <c r="O2" i="2"/>
  <c r="N2" i="2"/>
  <c r="T88" i="1"/>
  <c r="Q3" i="1"/>
  <c r="Q4" i="1"/>
  <c r="Q5" i="1"/>
  <c r="T5" i="1" s="1"/>
  <c r="Q6" i="1"/>
  <c r="Q7" i="1"/>
  <c r="Q8" i="1"/>
  <c r="Q9" i="1"/>
  <c r="Q10" i="1"/>
  <c r="Q11" i="1"/>
  <c r="T11" i="1" s="1"/>
  <c r="Q12" i="1"/>
  <c r="Q13" i="1"/>
  <c r="Q14" i="1"/>
  <c r="Q15" i="1"/>
  <c r="Q16" i="1"/>
  <c r="Q17" i="1"/>
  <c r="Q18" i="1"/>
  <c r="Q19" i="1"/>
  <c r="Q20" i="1"/>
  <c r="Q21" i="1"/>
  <c r="T21" i="1" s="1"/>
  <c r="Q22" i="1"/>
  <c r="Q23" i="1"/>
  <c r="Q24" i="1"/>
  <c r="Q25" i="1"/>
  <c r="T25" i="1" s="1"/>
  <c r="Q26" i="1"/>
  <c r="Q27" i="1"/>
  <c r="T27" i="1" s="1"/>
  <c r="Q28" i="1"/>
  <c r="Q29" i="1"/>
  <c r="Q30" i="1"/>
  <c r="Q31" i="1"/>
  <c r="Q32" i="1"/>
  <c r="Q33" i="1"/>
  <c r="Q34" i="1"/>
  <c r="Q35" i="1"/>
  <c r="Q36" i="1"/>
  <c r="Q37" i="1"/>
  <c r="T37" i="1" s="1"/>
  <c r="Q38" i="1"/>
  <c r="Q39" i="1"/>
  <c r="Q40" i="1"/>
  <c r="Q41" i="1"/>
  <c r="T41" i="1" s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T57" i="1" s="1"/>
  <c r="Q58" i="1"/>
  <c r="Q59" i="1"/>
  <c r="Q60" i="1"/>
  <c r="Q61" i="1"/>
  <c r="Q62" i="1"/>
  <c r="Q63" i="1"/>
  <c r="Q64" i="1"/>
  <c r="Q65" i="1"/>
  <c r="Q66" i="1"/>
  <c r="Q67" i="1"/>
  <c r="Q68" i="1"/>
  <c r="Q69" i="1"/>
  <c r="T69" i="1" s="1"/>
  <c r="Q70" i="1"/>
  <c r="Q71" i="1"/>
  <c r="Q72" i="1"/>
  <c r="T72" i="1" s="1"/>
  <c r="Q73" i="1"/>
  <c r="T73" i="1" s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T89" i="1" s="1"/>
  <c r="Q90" i="1"/>
  <c r="Q91" i="1"/>
  <c r="T91" i="1" s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T105" i="1" s="1"/>
  <c r="Q106" i="1"/>
  <c r="Q107" i="1"/>
  <c r="Q108" i="1"/>
  <c r="Q109" i="1"/>
  <c r="Q110" i="1"/>
  <c r="Q111" i="1"/>
  <c r="Q112" i="1"/>
  <c r="Q113" i="1"/>
  <c r="Q114" i="1"/>
  <c r="Q115" i="1"/>
  <c r="Q116" i="1"/>
  <c r="Q117" i="1"/>
  <c r="T117" i="1" s="1"/>
  <c r="Q118" i="1"/>
  <c r="Q119" i="1"/>
  <c r="Q120" i="1"/>
  <c r="T120" i="1" s="1"/>
  <c r="Q121" i="1"/>
  <c r="T121" i="1" s="1"/>
  <c r="Q122" i="1"/>
  <c r="Q123" i="1"/>
  <c r="T123" i="1" s="1"/>
  <c r="Q124" i="1"/>
  <c r="Q125" i="1"/>
  <c r="Q126" i="1"/>
  <c r="Q127" i="1"/>
  <c r="Q128" i="1"/>
  <c r="Q129" i="1"/>
  <c r="Q130" i="1"/>
  <c r="Q131" i="1"/>
  <c r="Q132" i="1"/>
  <c r="Q133" i="1"/>
  <c r="T133" i="1" s="1"/>
  <c r="Q134" i="1"/>
  <c r="Q135" i="1"/>
  <c r="Q136" i="1"/>
  <c r="T136" i="1" s="1"/>
  <c r="Q137" i="1"/>
  <c r="T137" i="1" s="1"/>
  <c r="Q138" i="1"/>
  <c r="Q139" i="1"/>
  <c r="T139" i="1" s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T153" i="1" s="1"/>
  <c r="Q154" i="1"/>
  <c r="Q155" i="1"/>
  <c r="Q156" i="1"/>
  <c r="Q157" i="1"/>
  <c r="Q158" i="1"/>
  <c r="Q2" i="1"/>
  <c r="T2" i="1" s="1"/>
  <c r="R3" i="1"/>
  <c r="R4" i="1"/>
  <c r="R5" i="1"/>
  <c r="R6" i="1"/>
  <c r="R7" i="1"/>
  <c r="R8" i="1"/>
  <c r="R9" i="1"/>
  <c r="R10" i="1"/>
  <c r="R11" i="1"/>
  <c r="R12" i="1"/>
  <c r="R13" i="1"/>
  <c r="R14" i="1"/>
  <c r="T14" i="1" s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T30" i="1" s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T142" i="1" s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2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2" i="1"/>
  <c r="T85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T136" i="4" l="1"/>
  <c r="V136" i="4" s="1"/>
  <c r="T144" i="4"/>
  <c r="V144" i="4" s="1"/>
  <c r="T95" i="4"/>
  <c r="V95" i="4" s="1"/>
  <c r="T105" i="4"/>
  <c r="V105" i="4" s="1"/>
  <c r="T44" i="2"/>
  <c r="T52" i="2"/>
  <c r="T60" i="2"/>
  <c r="T64" i="2"/>
  <c r="T72" i="2"/>
  <c r="T80" i="2"/>
  <c r="T57" i="2"/>
  <c r="V57" i="2" s="1"/>
  <c r="T63" i="2"/>
  <c r="V63" i="2" s="1"/>
  <c r="T12" i="2"/>
  <c r="T28" i="2"/>
  <c r="T36" i="2"/>
  <c r="T9" i="1"/>
  <c r="T115" i="1"/>
  <c r="T51" i="1"/>
  <c r="T35" i="1"/>
  <c r="T19" i="1"/>
  <c r="T3" i="1"/>
  <c r="T158" i="1"/>
  <c r="V158" i="1" s="1"/>
  <c r="T126" i="1"/>
  <c r="V126" i="1" s="1"/>
  <c r="T110" i="1"/>
  <c r="V110" i="1" s="1"/>
  <c r="T94" i="1"/>
  <c r="T78" i="1"/>
  <c r="V78" i="1" s="1"/>
  <c r="T62" i="1"/>
  <c r="V62" i="1" s="1"/>
  <c r="T46" i="1"/>
  <c r="T155" i="1"/>
  <c r="T107" i="1"/>
  <c r="V107" i="1" s="1"/>
  <c r="T75" i="1"/>
  <c r="V75" i="1" s="1"/>
  <c r="T59" i="1"/>
  <c r="V59" i="1" s="1"/>
  <c r="T43" i="1"/>
  <c r="T152" i="1"/>
  <c r="T104" i="1"/>
  <c r="T56" i="1"/>
  <c r="T40" i="1"/>
  <c r="V40" i="1" s="1"/>
  <c r="T24" i="1"/>
  <c r="V24" i="1" s="1"/>
  <c r="T8" i="1"/>
  <c r="V8" i="1" s="1"/>
  <c r="T157" i="1"/>
  <c r="V157" i="1" s="1"/>
  <c r="T141" i="1"/>
  <c r="V141" i="1" s="1"/>
  <c r="T125" i="1"/>
  <c r="T109" i="1"/>
  <c r="T93" i="1"/>
  <c r="T77" i="1"/>
  <c r="T61" i="1"/>
  <c r="V61" i="1" s="1"/>
  <c r="T45" i="1"/>
  <c r="V45" i="1" s="1"/>
  <c r="T29" i="1"/>
  <c r="V29" i="1" s="1"/>
  <c r="T13" i="1"/>
  <c r="T154" i="1"/>
  <c r="T138" i="1"/>
  <c r="T122" i="1"/>
  <c r="T106" i="1"/>
  <c r="T90" i="1"/>
  <c r="V90" i="1" s="1"/>
  <c r="T74" i="1"/>
  <c r="V74" i="1" s="1"/>
  <c r="T58" i="1"/>
  <c r="T42" i="1"/>
  <c r="T26" i="1"/>
  <c r="T10" i="1"/>
  <c r="V10" i="1" s="1"/>
  <c r="T150" i="1"/>
  <c r="V150" i="1" s="1"/>
  <c r="T134" i="1"/>
  <c r="V134" i="1" s="1"/>
  <c r="T118" i="1"/>
  <c r="V118" i="1" s="1"/>
  <c r="T102" i="1"/>
  <c r="V102" i="1" s="1"/>
  <c r="T86" i="1"/>
  <c r="V86" i="1" s="1"/>
  <c r="T70" i="1"/>
  <c r="T54" i="1"/>
  <c r="T38" i="1"/>
  <c r="T22" i="1"/>
  <c r="T6" i="1"/>
  <c r="T99" i="1"/>
  <c r="T53" i="1"/>
  <c r="V53" i="1" s="1"/>
  <c r="T131" i="1"/>
  <c r="T67" i="1"/>
  <c r="T149" i="1"/>
  <c r="V149" i="1" s="1"/>
  <c r="T101" i="1"/>
  <c r="T147" i="1"/>
  <c r="V147" i="1" s="1"/>
  <c r="T83" i="1"/>
  <c r="V83" i="1" s="1"/>
  <c r="T148" i="1"/>
  <c r="V148" i="1" s="1"/>
  <c r="T132" i="1"/>
  <c r="V132" i="1" s="1"/>
  <c r="T116" i="1"/>
  <c r="V116" i="1" s="1"/>
  <c r="T100" i="1"/>
  <c r="T84" i="1"/>
  <c r="T68" i="1"/>
  <c r="T52" i="1"/>
  <c r="T36" i="1"/>
  <c r="T20" i="1"/>
  <c r="V20" i="1" s="1"/>
  <c r="T4" i="1"/>
  <c r="V4" i="1" s="1"/>
  <c r="T156" i="1"/>
  <c r="T140" i="1"/>
  <c r="T124" i="1"/>
  <c r="T108" i="1"/>
  <c r="V108" i="1" s="1"/>
  <c r="T92" i="1"/>
  <c r="V92" i="1" s="1"/>
  <c r="T76" i="1"/>
  <c r="V76" i="1" s="1"/>
  <c r="T60" i="1"/>
  <c r="V60" i="1" s="1"/>
  <c r="T44" i="1"/>
  <c r="V44" i="1" s="1"/>
  <c r="T28" i="1"/>
  <c r="V28" i="1" s="1"/>
  <c r="T12" i="1"/>
  <c r="T149" i="2"/>
  <c r="V149" i="2" s="1"/>
  <c r="T146" i="2"/>
  <c r="V146" i="2" s="1"/>
  <c r="T31" i="3"/>
  <c r="V31" i="3" s="1"/>
  <c r="T73" i="2"/>
  <c r="T95" i="2"/>
  <c r="T143" i="2"/>
  <c r="T142" i="3"/>
  <c r="V142" i="3" s="1"/>
  <c r="T19" i="2"/>
  <c r="V19" i="2" s="1"/>
  <c r="T35" i="2"/>
  <c r="V35" i="2" s="1"/>
  <c r="T54" i="2"/>
  <c r="V54" i="2" s="1"/>
  <c r="T70" i="2"/>
  <c r="V70" i="2" s="1"/>
  <c r="T89" i="2"/>
  <c r="V89" i="2" s="1"/>
  <c r="T92" i="2"/>
  <c r="V92" i="2" s="1"/>
  <c r="T108" i="2"/>
  <c r="V108" i="2" s="1"/>
  <c r="T124" i="2"/>
  <c r="V124" i="2" s="1"/>
  <c r="T140" i="2"/>
  <c r="V140" i="2" s="1"/>
  <c r="T156" i="2"/>
  <c r="V156" i="2" s="1"/>
  <c r="T98" i="2"/>
  <c r="V98" i="2" s="1"/>
  <c r="T3" i="2"/>
  <c r="V60" i="2"/>
  <c r="T67" i="2"/>
  <c r="V67" i="2" s="1"/>
  <c r="T105" i="2"/>
  <c r="V105" i="2" s="1"/>
  <c r="T137" i="2"/>
  <c r="V137" i="2" s="1"/>
  <c r="T153" i="2"/>
  <c r="V153" i="2" s="1"/>
  <c r="T120" i="3"/>
  <c r="V120" i="3" s="1"/>
  <c r="T123" i="3"/>
  <c r="V123" i="3" s="1"/>
  <c r="T79" i="2"/>
  <c r="T103" i="1"/>
  <c r="V103" i="1" s="1"/>
  <c r="T114" i="3"/>
  <c r="V114" i="3" s="1"/>
  <c r="T10" i="3"/>
  <c r="V10" i="3" s="1"/>
  <c r="T42" i="3"/>
  <c r="V42" i="3" s="1"/>
  <c r="T68" i="2"/>
  <c r="V68" i="2" s="1"/>
  <c r="T87" i="2"/>
  <c r="V87" i="2" s="1"/>
  <c r="T106" i="2"/>
  <c r="V106" i="2" s="1"/>
  <c r="T122" i="2"/>
  <c r="T154" i="2"/>
  <c r="T83" i="3"/>
  <c r="V83" i="3" s="1"/>
  <c r="T87" i="1"/>
  <c r="V87" i="1" s="1"/>
  <c r="T7" i="1"/>
  <c r="V7" i="1" s="1"/>
  <c r="T7" i="2"/>
  <c r="V7" i="2" s="1"/>
  <c r="T130" i="1"/>
  <c r="V130" i="1" s="1"/>
  <c r="T82" i="1"/>
  <c r="V82" i="1" s="1"/>
  <c r="T66" i="1"/>
  <c r="T50" i="1"/>
  <c r="V50" i="1" s="1"/>
  <c r="T34" i="1"/>
  <c r="V34" i="1" s="1"/>
  <c r="T18" i="1"/>
  <c r="V18" i="1" s="1"/>
  <c r="T65" i="2"/>
  <c r="T81" i="2"/>
  <c r="V81" i="2" s="1"/>
  <c r="T84" i="2"/>
  <c r="V84" i="2" s="1"/>
  <c r="T103" i="2"/>
  <c r="T135" i="2"/>
  <c r="T151" i="2"/>
  <c r="T135" i="1"/>
  <c r="T92" i="3"/>
  <c r="V92" i="3" s="1"/>
  <c r="T96" i="2"/>
  <c r="V96" i="2" s="1"/>
  <c r="T90" i="2"/>
  <c r="V90" i="2" s="1"/>
  <c r="T109" i="2"/>
  <c r="V109" i="2" s="1"/>
  <c r="T114" i="1"/>
  <c r="V114" i="1" s="1"/>
  <c r="T129" i="1"/>
  <c r="V129" i="1" s="1"/>
  <c r="T97" i="1"/>
  <c r="V97" i="1" s="1"/>
  <c r="T65" i="1"/>
  <c r="V65" i="1" s="1"/>
  <c r="T49" i="1"/>
  <c r="T33" i="1"/>
  <c r="T11" i="2"/>
  <c r="V11" i="2" s="1"/>
  <c r="T62" i="2"/>
  <c r="T78" i="2"/>
  <c r="T100" i="2"/>
  <c r="T148" i="2"/>
  <c r="V148" i="2" s="1"/>
  <c r="T76" i="2"/>
  <c r="V76" i="2" s="1"/>
  <c r="T119" i="1"/>
  <c r="V119" i="1" s="1"/>
  <c r="T71" i="1"/>
  <c r="T23" i="1"/>
  <c r="T131" i="2"/>
  <c r="V131" i="2" s="1"/>
  <c r="T128" i="2"/>
  <c r="T71" i="2"/>
  <c r="V71" i="2" s="1"/>
  <c r="T93" i="2"/>
  <c r="T125" i="2"/>
  <c r="V125" i="2" s="1"/>
  <c r="T146" i="1"/>
  <c r="V146" i="1" s="1"/>
  <c r="T98" i="1"/>
  <c r="T145" i="1"/>
  <c r="V145" i="1" s="1"/>
  <c r="T113" i="1"/>
  <c r="T81" i="1"/>
  <c r="V81" i="1" s="1"/>
  <c r="T17" i="1"/>
  <c r="V17" i="1" s="1"/>
  <c r="T144" i="1"/>
  <c r="V144" i="1" s="1"/>
  <c r="T128" i="1"/>
  <c r="V128" i="1" s="1"/>
  <c r="T112" i="1"/>
  <c r="V112" i="1" s="1"/>
  <c r="T96" i="1"/>
  <c r="V96" i="1" s="1"/>
  <c r="T80" i="1"/>
  <c r="V80" i="1" s="1"/>
  <c r="T64" i="1"/>
  <c r="V64" i="1" s="1"/>
  <c r="T48" i="1"/>
  <c r="V48" i="1" s="1"/>
  <c r="T32" i="1"/>
  <c r="V32" i="1" s="1"/>
  <c r="T16" i="1"/>
  <c r="V16" i="1" s="1"/>
  <c r="T8" i="2"/>
  <c r="V8" i="2" s="1"/>
  <c r="T24" i="2"/>
  <c r="V24" i="2" s="1"/>
  <c r="T40" i="2"/>
  <c r="V40" i="2" s="1"/>
  <c r="T59" i="2"/>
  <c r="V59" i="2" s="1"/>
  <c r="T75" i="2"/>
  <c r="V75" i="2" s="1"/>
  <c r="T97" i="2"/>
  <c r="T113" i="2"/>
  <c r="T129" i="2"/>
  <c r="V129" i="2" s="1"/>
  <c r="T145" i="2"/>
  <c r="V145" i="2" s="1"/>
  <c r="T97" i="3"/>
  <c r="V97" i="3" s="1"/>
  <c r="T131" i="3"/>
  <c r="V131" i="3" s="1"/>
  <c r="T6" i="2"/>
  <c r="V6" i="2" s="1"/>
  <c r="T39" i="1"/>
  <c r="V39" i="1" s="1"/>
  <c r="T143" i="1"/>
  <c r="V143" i="1" s="1"/>
  <c r="T111" i="1"/>
  <c r="V111" i="1" s="1"/>
  <c r="T79" i="1"/>
  <c r="V79" i="1" s="1"/>
  <c r="T47" i="1"/>
  <c r="V47" i="1" s="1"/>
  <c r="T15" i="1"/>
  <c r="T126" i="2"/>
  <c r="V126" i="2" s="1"/>
  <c r="T125" i="3"/>
  <c r="V125" i="3" s="1"/>
  <c r="T101" i="2"/>
  <c r="V101" i="2" s="1"/>
  <c r="T151" i="1"/>
  <c r="V151" i="1" s="1"/>
  <c r="T55" i="1"/>
  <c r="V55" i="1" s="1"/>
  <c r="T157" i="2"/>
  <c r="V157" i="2" s="1"/>
  <c r="V2" i="1"/>
  <c r="T127" i="1"/>
  <c r="V127" i="1" s="1"/>
  <c r="T95" i="1"/>
  <c r="V95" i="1" s="1"/>
  <c r="T63" i="1"/>
  <c r="V63" i="1" s="1"/>
  <c r="T31" i="1"/>
  <c r="V31" i="1" s="1"/>
  <c r="T18" i="2"/>
  <c r="V18" i="2" s="1"/>
  <c r="T34" i="2"/>
  <c r="V34" i="2" s="1"/>
  <c r="T53" i="2"/>
  <c r="V53" i="2" s="1"/>
  <c r="T88" i="2"/>
  <c r="T107" i="2"/>
  <c r="V107" i="2" s="1"/>
  <c r="T123" i="2"/>
  <c r="V123" i="2" s="1"/>
  <c r="T139" i="2"/>
  <c r="V139" i="2" s="1"/>
  <c r="T155" i="2"/>
  <c r="V155" i="2" s="1"/>
  <c r="T27" i="3"/>
  <c r="V27" i="3" s="1"/>
  <c r="T122" i="3"/>
  <c r="V122" i="3" s="1"/>
  <c r="T122" i="4"/>
  <c r="V122" i="4" s="1"/>
  <c r="T141" i="4"/>
  <c r="V141" i="4" s="1"/>
  <c r="T11" i="4"/>
  <c r="V11" i="4" s="1"/>
  <c r="T59" i="4"/>
  <c r="V59" i="4" s="1"/>
  <c r="T108" i="3"/>
  <c r="V108" i="3" s="1"/>
  <c r="T133" i="3"/>
  <c r="V133" i="3" s="1"/>
  <c r="T139" i="3"/>
  <c r="V139" i="3" s="1"/>
  <c r="T2" i="4"/>
  <c r="V2" i="4" s="1"/>
  <c r="T5" i="4"/>
  <c r="V5" i="4" s="1"/>
  <c r="T91" i="4"/>
  <c r="V91" i="4" s="1"/>
  <c r="T138" i="4"/>
  <c r="V138" i="4" s="1"/>
  <c r="T145" i="4"/>
  <c r="V145" i="4" s="1"/>
  <c r="T148" i="4"/>
  <c r="V148" i="4" s="1"/>
  <c r="T151" i="4"/>
  <c r="V151" i="4" s="1"/>
  <c r="V10" i="2"/>
  <c r="T13" i="3"/>
  <c r="V13" i="3" s="1"/>
  <c r="T17" i="3"/>
  <c r="V17" i="3" s="1"/>
  <c r="T81" i="3"/>
  <c r="V81" i="3" s="1"/>
  <c r="T102" i="3"/>
  <c r="V102" i="3" s="1"/>
  <c r="T127" i="3"/>
  <c r="V127" i="3" s="1"/>
  <c r="T137" i="3"/>
  <c r="V137" i="3" s="1"/>
  <c r="T152" i="3"/>
  <c r="V152" i="3" s="1"/>
  <c r="T107" i="4"/>
  <c r="V107" i="4" s="1"/>
  <c r="T154" i="4"/>
  <c r="V154" i="4" s="1"/>
  <c r="T136" i="3"/>
  <c r="V136" i="3" s="1"/>
  <c r="T135" i="4"/>
  <c r="V135" i="4" s="1"/>
  <c r="T96" i="3"/>
  <c r="V96" i="3" s="1"/>
  <c r="T124" i="3"/>
  <c r="V124" i="3" s="1"/>
  <c r="T149" i="3"/>
  <c r="V149" i="3" s="1"/>
  <c r="T155" i="3"/>
  <c r="V155" i="3" s="1"/>
  <c r="T21" i="4"/>
  <c r="V21" i="4" s="1"/>
  <c r="T37" i="4"/>
  <c r="V37" i="4" s="1"/>
  <c r="T53" i="4"/>
  <c r="V53" i="4" s="1"/>
  <c r="T69" i="4"/>
  <c r="V69" i="4" s="1"/>
  <c r="T85" i="4"/>
  <c r="V85" i="4" s="1"/>
  <c r="T120" i="4"/>
  <c r="V120" i="4" s="1"/>
  <c r="T123" i="4"/>
  <c r="V123" i="4" s="1"/>
  <c r="T16" i="3"/>
  <c r="V16" i="3" s="1"/>
  <c r="T28" i="3"/>
  <c r="V28" i="3" s="1"/>
  <c r="T86" i="3"/>
  <c r="V86" i="3" s="1"/>
  <c r="T111" i="3"/>
  <c r="V111" i="3" s="1"/>
  <c r="T27" i="4"/>
  <c r="V27" i="4" s="1"/>
  <c r="T43" i="4"/>
  <c r="V43" i="4" s="1"/>
  <c r="T75" i="4"/>
  <c r="V75" i="4" s="1"/>
  <c r="T132" i="4"/>
  <c r="V132" i="4" s="1"/>
  <c r="V36" i="2"/>
  <c r="T38" i="3"/>
  <c r="V38" i="3" s="1"/>
  <c r="T57" i="3"/>
  <c r="V57" i="3" s="1"/>
  <c r="T93" i="3"/>
  <c r="V93" i="3" s="1"/>
  <c r="T99" i="3"/>
  <c r="V99" i="3" s="1"/>
  <c r="T118" i="3"/>
  <c r="V118" i="3" s="1"/>
  <c r="T143" i="3"/>
  <c r="V143" i="3" s="1"/>
  <c r="T153" i="3"/>
  <c r="V153" i="3" s="1"/>
  <c r="T9" i="4"/>
  <c r="V9" i="4" s="1"/>
  <c r="T18" i="4"/>
  <c r="V18" i="4" s="1"/>
  <c r="T25" i="4"/>
  <c r="V25" i="4" s="1"/>
  <c r="T34" i="4"/>
  <c r="V34" i="4" s="1"/>
  <c r="T41" i="4"/>
  <c r="V41" i="4" s="1"/>
  <c r="T50" i="4"/>
  <c r="V50" i="4" s="1"/>
  <c r="T57" i="4"/>
  <c r="V57" i="4" s="1"/>
  <c r="T66" i="4"/>
  <c r="V66" i="4" s="1"/>
  <c r="T73" i="4"/>
  <c r="V73" i="4" s="1"/>
  <c r="T82" i="4"/>
  <c r="V82" i="4" s="1"/>
  <c r="T101" i="4"/>
  <c r="V101" i="4" s="1"/>
  <c r="T142" i="4"/>
  <c r="V142" i="4" s="1"/>
  <c r="V27" i="2"/>
  <c r="V52" i="2"/>
  <c r="T20" i="3"/>
  <c r="V20" i="3" s="1"/>
  <c r="T33" i="3"/>
  <c r="V33" i="3" s="1"/>
  <c r="T109" i="3"/>
  <c r="V109" i="3" s="1"/>
  <c r="T115" i="3"/>
  <c r="V115" i="3" s="1"/>
  <c r="T134" i="3"/>
  <c r="V134" i="3" s="1"/>
  <c r="T12" i="4"/>
  <c r="V12" i="4" s="1"/>
  <c r="T28" i="4"/>
  <c r="V28" i="4" s="1"/>
  <c r="T44" i="4"/>
  <c r="V44" i="4" s="1"/>
  <c r="T60" i="4"/>
  <c r="V60" i="4" s="1"/>
  <c r="T76" i="4"/>
  <c r="V76" i="4" s="1"/>
  <c r="T111" i="4"/>
  <c r="V111" i="4" s="1"/>
  <c r="T114" i="4"/>
  <c r="V114" i="4" s="1"/>
  <c r="T152" i="4"/>
  <c r="V152" i="4" s="1"/>
  <c r="T113" i="3"/>
  <c r="V113" i="3" s="1"/>
  <c r="T128" i="3"/>
  <c r="V128" i="3" s="1"/>
  <c r="T156" i="3"/>
  <c r="V156" i="3" s="1"/>
  <c r="T3" i="4"/>
  <c r="V3" i="4" s="1"/>
  <c r="T92" i="4"/>
  <c r="V92" i="4" s="1"/>
  <c r="T124" i="4"/>
  <c r="V124" i="4" s="1"/>
  <c r="T127" i="4"/>
  <c r="V127" i="4" s="1"/>
  <c r="T149" i="4"/>
  <c r="V149" i="4" s="1"/>
  <c r="T19" i="4"/>
  <c r="V19" i="4" s="1"/>
  <c r="T35" i="4"/>
  <c r="V35" i="4" s="1"/>
  <c r="T51" i="4"/>
  <c r="V51" i="4" s="1"/>
  <c r="T67" i="4"/>
  <c r="V67" i="4" s="1"/>
  <c r="T83" i="4"/>
  <c r="V83" i="4" s="1"/>
  <c r="T108" i="4"/>
  <c r="V108" i="4" s="1"/>
  <c r="T130" i="4"/>
  <c r="V130" i="4" s="1"/>
  <c r="T119" i="3"/>
  <c r="V119" i="3" s="1"/>
  <c r="T129" i="3"/>
  <c r="V129" i="3" s="1"/>
  <c r="T144" i="3"/>
  <c r="V144" i="3" s="1"/>
  <c r="T102" i="4"/>
  <c r="V102" i="4" s="1"/>
  <c r="T118" i="4"/>
  <c r="V118" i="4" s="1"/>
  <c r="T140" i="4"/>
  <c r="V140" i="4" s="1"/>
  <c r="T143" i="4"/>
  <c r="V143" i="4" s="1"/>
  <c r="T146" i="4"/>
  <c r="V146" i="4" s="1"/>
  <c r="T24" i="3"/>
  <c r="V24" i="3" s="1"/>
  <c r="T30" i="3"/>
  <c r="V30" i="3" s="1"/>
  <c r="T36" i="3"/>
  <c r="V36" i="3" s="1"/>
  <c r="T49" i="3"/>
  <c r="V49" i="3" s="1"/>
  <c r="T88" i="3"/>
  <c r="V88" i="3" s="1"/>
  <c r="T116" i="3"/>
  <c r="V116" i="3" s="1"/>
  <c r="T141" i="3"/>
  <c r="V141" i="3" s="1"/>
  <c r="T147" i="3"/>
  <c r="V147" i="3" s="1"/>
  <c r="T96" i="4"/>
  <c r="V96" i="4" s="1"/>
  <c r="T115" i="4"/>
  <c r="V115" i="4" s="1"/>
  <c r="T20" i="2"/>
  <c r="V20" i="2" s="1"/>
  <c r="T4" i="2"/>
  <c r="V4" i="2" s="1"/>
  <c r="V12" i="2"/>
  <c r="T91" i="3"/>
  <c r="V91" i="3" s="1"/>
  <c r="T135" i="3"/>
  <c r="V135" i="3" s="1"/>
  <c r="T145" i="3"/>
  <c r="V145" i="3" s="1"/>
  <c r="T13" i="4"/>
  <c r="V13" i="4" s="1"/>
  <c r="T29" i="4"/>
  <c r="V29" i="4" s="1"/>
  <c r="T45" i="4"/>
  <c r="V45" i="4" s="1"/>
  <c r="T61" i="4"/>
  <c r="V61" i="4" s="1"/>
  <c r="T77" i="4"/>
  <c r="V77" i="4" s="1"/>
  <c r="T112" i="4"/>
  <c r="V112" i="4" s="1"/>
  <c r="T134" i="4"/>
  <c r="V134" i="4" s="1"/>
  <c r="V28" i="2"/>
  <c r="V100" i="2"/>
  <c r="T12" i="3"/>
  <c r="V12" i="3" s="1"/>
  <c r="T21" i="3"/>
  <c r="V21" i="3" s="1"/>
  <c r="T25" i="3"/>
  <c r="V25" i="3" s="1"/>
  <c r="T89" i="3"/>
  <c r="V89" i="3" s="1"/>
  <c r="T104" i="3"/>
  <c r="V104" i="3" s="1"/>
  <c r="T132" i="3"/>
  <c r="V132" i="3" s="1"/>
  <c r="T157" i="3"/>
  <c r="V157" i="3" s="1"/>
  <c r="T10" i="4"/>
  <c r="V10" i="4" s="1"/>
  <c r="T17" i="4"/>
  <c r="V17" i="4" s="1"/>
  <c r="T26" i="4"/>
  <c r="V26" i="4" s="1"/>
  <c r="T33" i="4"/>
  <c r="V33" i="4" s="1"/>
  <c r="T42" i="4"/>
  <c r="V42" i="4" s="1"/>
  <c r="T49" i="4"/>
  <c r="V49" i="4" s="1"/>
  <c r="T58" i="4"/>
  <c r="V58" i="4" s="1"/>
  <c r="T65" i="4"/>
  <c r="V65" i="4" s="1"/>
  <c r="T74" i="4"/>
  <c r="V74" i="4" s="1"/>
  <c r="T81" i="4"/>
  <c r="V81" i="4" s="1"/>
  <c r="T97" i="4"/>
  <c r="V97" i="4" s="1"/>
  <c r="T128" i="4"/>
  <c r="V128" i="4" s="1"/>
  <c r="T131" i="4"/>
  <c r="V131" i="4" s="1"/>
  <c r="T150" i="4"/>
  <c r="V150" i="4" s="1"/>
  <c r="V44" i="2"/>
  <c r="T107" i="3"/>
  <c r="V107" i="3" s="1"/>
  <c r="T126" i="3"/>
  <c r="V126" i="3" s="1"/>
  <c r="T151" i="3"/>
  <c r="V151" i="3" s="1"/>
  <c r="T90" i="4"/>
  <c r="V90" i="4" s="1"/>
  <c r="T113" i="4"/>
  <c r="V113" i="4" s="1"/>
  <c r="T125" i="4"/>
  <c r="V125" i="4" s="1"/>
  <c r="T147" i="4"/>
  <c r="V147" i="4" s="1"/>
  <c r="V45" i="2"/>
  <c r="V93" i="2"/>
  <c r="V49" i="2"/>
  <c r="V132" i="2"/>
  <c r="V33" i="2"/>
  <c r="V41" i="2"/>
  <c r="V134" i="2"/>
  <c r="V116" i="2"/>
  <c r="V113" i="2"/>
  <c r="V69" i="2"/>
  <c r="V133" i="2"/>
  <c r="V85" i="2"/>
  <c r="V121" i="2"/>
  <c r="V58" i="2"/>
  <c r="V122" i="2"/>
  <c r="V62" i="2"/>
  <c r="V97" i="2"/>
  <c r="V16" i="2"/>
  <c r="V66" i="2"/>
  <c r="V77" i="2"/>
  <c r="V130" i="2"/>
  <c r="V141" i="2"/>
  <c r="V74" i="2"/>
  <c r="V138" i="2"/>
  <c r="V82" i="2"/>
  <c r="V154" i="2"/>
  <c r="V31" i="2"/>
  <c r="V42" i="2"/>
  <c r="V78" i="2"/>
  <c r="V117" i="2"/>
  <c r="V128" i="2"/>
  <c r="V142" i="2"/>
  <c r="V50" i="2"/>
  <c r="V61" i="2"/>
  <c r="V86" i="2"/>
  <c r="V114" i="2"/>
  <c r="V136" i="2"/>
  <c r="V150" i="2"/>
  <c r="V118" i="2"/>
  <c r="V65" i="2"/>
  <c r="V94" i="2"/>
  <c r="V144" i="2"/>
  <c r="V30" i="2"/>
  <c r="V73" i="2"/>
  <c r="V102" i="2"/>
  <c r="V152" i="2"/>
  <c r="V46" i="2"/>
  <c r="V110" i="2"/>
  <c r="T72" i="4"/>
  <c r="V72" i="4" s="1"/>
  <c r="T80" i="4"/>
  <c r="V80" i="4" s="1"/>
  <c r="T88" i="4"/>
  <c r="V88" i="4" s="1"/>
  <c r="T8" i="4"/>
  <c r="V8" i="4" s="1"/>
  <c r="T16" i="4"/>
  <c r="V16" i="4" s="1"/>
  <c r="T56" i="4"/>
  <c r="V56" i="4" s="1"/>
  <c r="T64" i="4"/>
  <c r="V64" i="4" s="1"/>
  <c r="T4" i="4"/>
  <c r="V4" i="4" s="1"/>
  <c r="T7" i="4"/>
  <c r="V7" i="4" s="1"/>
  <c r="T15" i="4"/>
  <c r="V15" i="4" s="1"/>
  <c r="T23" i="4"/>
  <c r="V23" i="4" s="1"/>
  <c r="T31" i="4"/>
  <c r="V31" i="4" s="1"/>
  <c r="T39" i="4"/>
  <c r="V39" i="4" s="1"/>
  <c r="T47" i="4"/>
  <c r="V47" i="4" s="1"/>
  <c r="T55" i="4"/>
  <c r="V55" i="4" s="1"/>
  <c r="T63" i="4"/>
  <c r="V63" i="4" s="1"/>
  <c r="T71" i="4"/>
  <c r="V71" i="4" s="1"/>
  <c r="T79" i="4"/>
  <c r="V79" i="4" s="1"/>
  <c r="T87" i="4"/>
  <c r="V87" i="4" s="1"/>
  <c r="T24" i="4"/>
  <c r="V24" i="4" s="1"/>
  <c r="T40" i="4"/>
  <c r="V40" i="4" s="1"/>
  <c r="T48" i="4"/>
  <c r="V48" i="4" s="1"/>
  <c r="T104" i="4"/>
  <c r="V104" i="4" s="1"/>
  <c r="T110" i="4"/>
  <c r="V110" i="4" s="1"/>
  <c r="T103" i="4"/>
  <c r="V103" i="4" s="1"/>
  <c r="T117" i="4"/>
  <c r="V117" i="4" s="1"/>
  <c r="T133" i="4"/>
  <c r="V133" i="4" s="1"/>
  <c r="T32" i="4"/>
  <c r="V32" i="4" s="1"/>
  <c r="T94" i="4"/>
  <c r="V94" i="4" s="1"/>
  <c r="T6" i="4"/>
  <c r="V6" i="4" s="1"/>
  <c r="T14" i="4"/>
  <c r="V14" i="4" s="1"/>
  <c r="T22" i="4"/>
  <c r="V22" i="4" s="1"/>
  <c r="T30" i="4"/>
  <c r="V30" i="4" s="1"/>
  <c r="T38" i="4"/>
  <c r="V38" i="4" s="1"/>
  <c r="T46" i="4"/>
  <c r="V46" i="4" s="1"/>
  <c r="T54" i="4"/>
  <c r="V54" i="4" s="1"/>
  <c r="T62" i="4"/>
  <c r="V62" i="4" s="1"/>
  <c r="T70" i="4"/>
  <c r="V70" i="4" s="1"/>
  <c r="T78" i="4"/>
  <c r="V78" i="4" s="1"/>
  <c r="T86" i="4"/>
  <c r="V86" i="4" s="1"/>
  <c r="T93" i="4"/>
  <c r="V93" i="4" s="1"/>
  <c r="T109" i="4"/>
  <c r="V109" i="4" s="1"/>
  <c r="T126" i="4"/>
  <c r="V126" i="4" s="1"/>
  <c r="T46" i="3"/>
  <c r="V46" i="3" s="1"/>
  <c r="T54" i="3"/>
  <c r="V54" i="3" s="1"/>
  <c r="T62" i="3"/>
  <c r="V62" i="3" s="1"/>
  <c r="T70" i="3"/>
  <c r="V70" i="3" s="1"/>
  <c r="T78" i="3"/>
  <c r="V78" i="3" s="1"/>
  <c r="T4" i="3"/>
  <c r="V4" i="3" s="1"/>
  <c r="T7" i="3"/>
  <c r="V7" i="3" s="1"/>
  <c r="T15" i="3"/>
  <c r="V15" i="3" s="1"/>
  <c r="T23" i="3"/>
  <c r="V23" i="3" s="1"/>
  <c r="T37" i="3"/>
  <c r="V37" i="3" s="1"/>
  <c r="T40" i="3"/>
  <c r="V40" i="3" s="1"/>
  <c r="T6" i="3"/>
  <c r="V6" i="3" s="1"/>
  <c r="T45" i="3"/>
  <c r="V45" i="3" s="1"/>
  <c r="T48" i="3"/>
  <c r="V48" i="3" s="1"/>
  <c r="T53" i="3"/>
  <c r="V53" i="3" s="1"/>
  <c r="T56" i="3"/>
  <c r="V56" i="3" s="1"/>
  <c r="T61" i="3"/>
  <c r="V61" i="3" s="1"/>
  <c r="T64" i="3"/>
  <c r="V64" i="3" s="1"/>
  <c r="T69" i="3"/>
  <c r="V69" i="3" s="1"/>
  <c r="T72" i="3"/>
  <c r="V72" i="3" s="1"/>
  <c r="T77" i="3"/>
  <c r="V77" i="3" s="1"/>
  <c r="T80" i="3"/>
  <c r="V80" i="3" s="1"/>
  <c r="T85" i="3"/>
  <c r="V85" i="3" s="1"/>
  <c r="T101" i="3"/>
  <c r="V101" i="3" s="1"/>
  <c r="T39" i="3"/>
  <c r="V39" i="3" s="1"/>
  <c r="T3" i="3"/>
  <c r="V3" i="3" s="1"/>
  <c r="T14" i="3"/>
  <c r="V14" i="3" s="1"/>
  <c r="T22" i="3"/>
  <c r="V22" i="3" s="1"/>
  <c r="T94" i="3"/>
  <c r="V94" i="3" s="1"/>
  <c r="T110" i="3"/>
  <c r="V110" i="3" s="1"/>
  <c r="T29" i="3"/>
  <c r="V29" i="3" s="1"/>
  <c r="T32" i="3"/>
  <c r="V32" i="3" s="1"/>
  <c r="T47" i="3"/>
  <c r="V47" i="3" s="1"/>
  <c r="T55" i="3"/>
  <c r="V55" i="3" s="1"/>
  <c r="T63" i="3"/>
  <c r="V63" i="3" s="1"/>
  <c r="T71" i="3"/>
  <c r="V71" i="3" s="1"/>
  <c r="T79" i="3"/>
  <c r="V79" i="3" s="1"/>
  <c r="T87" i="3"/>
  <c r="V87" i="3" s="1"/>
  <c r="T103" i="3"/>
  <c r="V103" i="3" s="1"/>
  <c r="T2" i="3"/>
  <c r="V2" i="3" s="1"/>
  <c r="T5" i="3"/>
  <c r="V5" i="3" s="1"/>
  <c r="T44" i="3"/>
  <c r="V44" i="3" s="1"/>
  <c r="T52" i="3"/>
  <c r="V52" i="3" s="1"/>
  <c r="T60" i="3"/>
  <c r="V60" i="3" s="1"/>
  <c r="T68" i="3"/>
  <c r="V68" i="3" s="1"/>
  <c r="T76" i="3"/>
  <c r="V76" i="3" s="1"/>
  <c r="T84" i="3"/>
  <c r="V84" i="3" s="1"/>
  <c r="V23" i="2"/>
  <c r="V39" i="2"/>
  <c r="V79" i="2"/>
  <c r="V95" i="2"/>
  <c r="V103" i="2"/>
  <c r="V111" i="2"/>
  <c r="V48" i="2"/>
  <c r="V56" i="2"/>
  <c r="V64" i="2"/>
  <c r="V72" i="2"/>
  <c r="V80" i="2"/>
  <c r="V88" i="2"/>
  <c r="V104" i="2"/>
  <c r="V112" i="2"/>
  <c r="V120" i="2"/>
  <c r="V143" i="2"/>
  <c r="V32" i="2"/>
  <c r="V38" i="2"/>
  <c r="V29" i="2"/>
  <c r="V47" i="2"/>
  <c r="V55" i="2"/>
  <c r="V127" i="2"/>
  <c r="V135" i="2"/>
  <c r="V151" i="2"/>
  <c r="V3" i="2"/>
  <c r="V14" i="2"/>
  <c r="V22" i="2"/>
  <c r="V119" i="2"/>
  <c r="V2" i="2"/>
  <c r="V15" i="2"/>
  <c r="V5" i="2"/>
  <c r="V13" i="2"/>
  <c r="V21" i="2"/>
  <c r="V37" i="2"/>
  <c r="V152" i="1"/>
  <c r="V136" i="1"/>
  <c r="V120" i="1"/>
  <c r="V104" i="1"/>
  <c r="V88" i="1"/>
  <c r="V72" i="1"/>
  <c r="V56" i="1"/>
  <c r="V139" i="1"/>
  <c r="V123" i="1"/>
  <c r="V15" i="1"/>
  <c r="V142" i="1"/>
  <c r="V94" i="1"/>
  <c r="V70" i="1"/>
  <c r="V46" i="1"/>
  <c r="V6" i="1"/>
  <c r="V155" i="1"/>
  <c r="V115" i="1"/>
  <c r="V91" i="1"/>
  <c r="V51" i="1"/>
  <c r="V43" i="1"/>
  <c r="V35" i="1"/>
  <c r="V27" i="1"/>
  <c r="V19" i="1"/>
  <c r="V11" i="1"/>
  <c r="V3" i="1"/>
  <c r="V99" i="1"/>
  <c r="V30" i="1"/>
  <c r="V131" i="1"/>
  <c r="V67" i="1"/>
  <c r="V135" i="1"/>
  <c r="V71" i="1"/>
  <c r="V38" i="1"/>
  <c r="V22" i="1"/>
  <c r="V23" i="1"/>
  <c r="V54" i="1"/>
  <c r="V14" i="1"/>
  <c r="V154" i="1"/>
  <c r="V122" i="1"/>
  <c r="V106" i="1"/>
  <c r="V98" i="1"/>
  <c r="V66" i="1"/>
  <c r="V58" i="1"/>
  <c r="V42" i="1"/>
  <c r="V26" i="1"/>
  <c r="V138" i="1"/>
  <c r="V153" i="1"/>
  <c r="V137" i="1"/>
  <c r="V121" i="1"/>
  <c r="V113" i="1"/>
  <c r="V105" i="1"/>
  <c r="V89" i="1"/>
  <c r="V73" i="1"/>
  <c r="V57" i="1"/>
  <c r="V49" i="1"/>
  <c r="V41" i="1"/>
  <c r="V33" i="1"/>
  <c r="V25" i="1"/>
  <c r="V9" i="1"/>
  <c r="V133" i="1"/>
  <c r="V125" i="1"/>
  <c r="V117" i="1"/>
  <c r="V109" i="1"/>
  <c r="V101" i="1"/>
  <c r="V93" i="1"/>
  <c r="V85" i="1"/>
  <c r="V77" i="1"/>
  <c r="V69" i="1"/>
  <c r="V37" i="1"/>
  <c r="V21" i="1"/>
  <c r="V13" i="1"/>
  <c r="V5" i="1"/>
  <c r="V156" i="1"/>
  <c r="V140" i="1"/>
  <c r="V124" i="1"/>
  <c r="V100" i="1"/>
  <c r="V84" i="1"/>
  <c r="V68" i="1"/>
  <c r="V52" i="1"/>
  <c r="V36" i="1"/>
  <c r="V12" i="1"/>
</calcChain>
</file>

<file path=xl/sharedStrings.xml><?xml version="1.0" encoding="utf-8"?>
<sst xmlns="http://schemas.openxmlformats.org/spreadsheetml/2006/main" count="1410" uniqueCount="50">
  <si>
    <t>No. record</t>
  </si>
  <si>
    <t>No. Event</t>
  </si>
  <si>
    <t>Tanggal</t>
  </si>
  <si>
    <t>Origin Time (UTC)</t>
  </si>
  <si>
    <t>Lat gempa</t>
  </si>
  <si>
    <t>Long gempa</t>
  </si>
  <si>
    <t>Mw</t>
  </si>
  <si>
    <t>h</t>
  </si>
  <si>
    <t>mech</t>
  </si>
  <si>
    <t>Nama Sensor</t>
  </si>
  <si>
    <t>Vs30</t>
  </si>
  <si>
    <t>strike slip</t>
  </si>
  <si>
    <t>BMNI</t>
  </si>
  <si>
    <t>DBNI</t>
  </si>
  <si>
    <t>MAKE</t>
  </si>
  <si>
    <t>MASE</t>
  </si>
  <si>
    <t>TWSI</t>
  </si>
  <si>
    <t>KLNI</t>
  </si>
  <si>
    <t>SUBE</t>
  </si>
  <si>
    <t>23:10:12</t>
  </si>
  <si>
    <t>reverse</t>
  </si>
  <si>
    <t>normal</t>
  </si>
  <si>
    <t>R epi (km)</t>
  </si>
  <si>
    <t>Coefficient</t>
  </si>
  <si>
    <t>Mh</t>
  </si>
  <si>
    <t>Mref</t>
  </si>
  <si>
    <t>Rref</t>
  </si>
  <si>
    <t>c1</t>
  </si>
  <si>
    <t>c2</t>
  </si>
  <si>
    <t>c3</t>
  </si>
  <si>
    <t>e1</t>
  </si>
  <si>
    <t>Vref</t>
  </si>
  <si>
    <t>log pre (cm/s2)</t>
  </si>
  <si>
    <t>log obs (cm/s2)</t>
  </si>
  <si>
    <t>b1</t>
  </si>
  <si>
    <t>b2</t>
  </si>
  <si>
    <t>b3</t>
  </si>
  <si>
    <t>delta Xvolc</t>
  </si>
  <si>
    <t>delta b1,b2</t>
  </si>
  <si>
    <t>delta b3</t>
  </si>
  <si>
    <r>
      <t>f</t>
    </r>
    <r>
      <rPr>
        <b/>
        <vertAlign val="subscript"/>
        <sz val="12"/>
        <color theme="1"/>
        <rFont val="Calibri (Body)"/>
      </rPr>
      <t>N</t>
    </r>
  </si>
  <si>
    <r>
      <t>f</t>
    </r>
    <r>
      <rPr>
        <b/>
        <vertAlign val="subscript"/>
        <sz val="12"/>
        <color theme="1"/>
        <rFont val="Calibri (Body)"/>
      </rPr>
      <t>R</t>
    </r>
  </si>
  <si>
    <r>
      <t>f</t>
    </r>
    <r>
      <rPr>
        <b/>
        <vertAlign val="subscript"/>
        <sz val="12"/>
        <color theme="1"/>
        <rFont val="Calibri (Body)"/>
      </rPr>
      <t>S</t>
    </r>
  </si>
  <si>
    <r>
      <t>E</t>
    </r>
    <r>
      <rPr>
        <b/>
        <vertAlign val="subscript"/>
        <sz val="10"/>
        <color theme="1"/>
        <rFont val="Arial"/>
        <family val="2"/>
      </rPr>
      <t>N</t>
    </r>
  </si>
  <si>
    <r>
      <t>E</t>
    </r>
    <r>
      <rPr>
        <b/>
        <vertAlign val="subscript"/>
        <sz val="10"/>
        <color theme="1"/>
        <rFont val="Arial"/>
        <family val="2"/>
      </rPr>
      <t>R</t>
    </r>
  </si>
  <si>
    <r>
      <t>E</t>
    </r>
    <r>
      <rPr>
        <b/>
        <vertAlign val="subscript"/>
        <sz val="10"/>
        <color theme="1"/>
        <rFont val="Arial"/>
        <family val="2"/>
      </rPr>
      <t>S</t>
    </r>
  </si>
  <si>
    <t>R=rhyp</t>
  </si>
  <si>
    <t>D</t>
  </si>
  <si>
    <t>𝛾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</si>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</sst>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h:mm:ss;@"/>
    <numFmt numFmtId="166" formatCode="0.0"/>
    <numFmt numFmtId="167" formatCode="[$-F400]h:mm:ss\ AM/PM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 Unicode MS"/>
      <family val="2"/>
    </font>
    <font>
      <b/>
      <vertAlign val="subscript"/>
      <sz val="12"/>
      <color theme="1"/>
      <name val="Calibri (Body)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/>
    <xf numFmtId="0" fontId="4" fillId="0" borderId="2" xfId="1" applyFont="1" applyBorder="1"/>
    <xf numFmtId="164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0" fillId="3" borderId="0" xfId="0" applyFill="1"/>
    <xf numFmtId="0" fontId="4" fillId="3" borderId="2" xfId="0" applyFont="1" applyFill="1" applyBorder="1"/>
    <xf numFmtId="164" fontId="4" fillId="3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/>
    <xf numFmtId="0" fontId="4" fillId="3" borderId="2" xfId="1" applyFont="1" applyFill="1" applyBorder="1"/>
    <xf numFmtId="0" fontId="0" fillId="2" borderId="0" xfId="0" applyFill="1"/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6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/>
    <xf numFmtId="0" fontId="4" fillId="2" borderId="2" xfId="1" applyFont="1" applyFill="1" applyBorder="1"/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0" fillId="2" borderId="2" xfId="0" applyNumberFormat="1" applyFill="1" applyBorder="1"/>
    <xf numFmtId="167" fontId="0" fillId="2" borderId="2" xfId="0" applyNumberFormat="1" applyFill="1" applyBorder="1"/>
    <xf numFmtId="0" fontId="0" fillId="2" borderId="2" xfId="0" applyFill="1" applyBorder="1"/>
    <xf numFmtId="0" fontId="7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4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293B62-DE31-4F49-81D2-88BD1018A3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32</xdr:col>
      <xdr:colOff>38100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9DF64-973B-94C5-8B99-145AE6862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0" y="355600"/>
          <a:ext cx="5816600" cy="6858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34</xdr:col>
      <xdr:colOff>342900</xdr:colOff>
      <xdr:row>7</xdr:row>
      <xdr:rowOff>100046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C6010-4372-2EB5-2E8A-C527B1666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1500" y="1168400"/>
          <a:ext cx="7772400" cy="50644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32</xdr:col>
      <xdr:colOff>812800</xdr:colOff>
      <xdr:row>11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54D264-882E-D432-8E65-F379E004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21500" y="1778000"/>
          <a:ext cx="6591300" cy="698500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12</xdr:row>
      <xdr:rowOff>0</xdr:rowOff>
    </xdr:from>
    <xdr:to>
      <xdr:col>28</xdr:col>
      <xdr:colOff>304800</xdr:colOff>
      <xdr:row>13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E29496-99DB-0F6F-2D6B-FCE3FDFBC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59600" y="2590800"/>
          <a:ext cx="2743200" cy="381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26</xdr:col>
      <xdr:colOff>393700</xdr:colOff>
      <xdr:row>15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C8DC91-F320-0DB5-F903-B4B56C79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21500" y="2997200"/>
          <a:ext cx="1219200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32</xdr:col>
      <xdr:colOff>38100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20C5D-F618-CE42-9039-4CF9F78BC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0" y="355600"/>
          <a:ext cx="5816600" cy="6858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34</xdr:col>
      <xdr:colOff>342900</xdr:colOff>
      <xdr:row>7</xdr:row>
      <xdr:rowOff>100046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3FAF40-868B-A74E-AACF-CB2009048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1500" y="1168400"/>
          <a:ext cx="7772400" cy="50644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32</xdr:col>
      <xdr:colOff>812800</xdr:colOff>
      <xdr:row>11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C2F364-B307-6C4E-875D-0C5A26C89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21500" y="1778000"/>
          <a:ext cx="6591300" cy="698500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12</xdr:row>
      <xdr:rowOff>0</xdr:rowOff>
    </xdr:from>
    <xdr:to>
      <xdr:col>28</xdr:col>
      <xdr:colOff>304800</xdr:colOff>
      <xdr:row>13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D01A15-3991-CD47-A358-CA1FD0757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59600" y="2590800"/>
          <a:ext cx="2743200" cy="381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26</xdr:col>
      <xdr:colOff>393700</xdr:colOff>
      <xdr:row>15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1918B5-2F78-A04A-B0AA-8EE00CB12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21500" y="2997200"/>
          <a:ext cx="1219200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32</xdr:col>
      <xdr:colOff>38100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6B157-7CF4-AD43-A4B3-D62CE3F28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0" y="355600"/>
          <a:ext cx="5816600" cy="6858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34</xdr:col>
      <xdr:colOff>342900</xdr:colOff>
      <xdr:row>7</xdr:row>
      <xdr:rowOff>100046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D546F1-F7C3-6940-891A-5A21BFEE5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1500" y="1168400"/>
          <a:ext cx="7772400" cy="50644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32</xdr:col>
      <xdr:colOff>812800</xdr:colOff>
      <xdr:row>11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8DB07F-5DDE-3B40-A341-34F76C66C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21500" y="1778000"/>
          <a:ext cx="6591300" cy="698500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12</xdr:row>
      <xdr:rowOff>0</xdr:rowOff>
    </xdr:from>
    <xdr:to>
      <xdr:col>28</xdr:col>
      <xdr:colOff>304800</xdr:colOff>
      <xdr:row>13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42FCD1-8775-254E-974E-C07BF7FE2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59600" y="2590800"/>
          <a:ext cx="2743200" cy="381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26</xdr:col>
      <xdr:colOff>393700</xdr:colOff>
      <xdr:row>15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829B39-FA83-D646-AF05-68EF53449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21500" y="2997200"/>
          <a:ext cx="1219200" cy="381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32</xdr:col>
      <xdr:colOff>38100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5F1664-B542-4B48-B313-B7623B8C8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0" y="355600"/>
          <a:ext cx="5816600" cy="6858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34</xdr:col>
      <xdr:colOff>342900</xdr:colOff>
      <xdr:row>7</xdr:row>
      <xdr:rowOff>100046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C0A48B-E577-FA4D-82C9-E00F42738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1500" y="1168400"/>
          <a:ext cx="7772400" cy="50644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32</xdr:col>
      <xdr:colOff>812800</xdr:colOff>
      <xdr:row>11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501E2C-ECA7-2C45-9F28-9BFCD380E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21500" y="1778000"/>
          <a:ext cx="6591300" cy="698500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12</xdr:row>
      <xdr:rowOff>0</xdr:rowOff>
    </xdr:from>
    <xdr:to>
      <xdr:col>28</xdr:col>
      <xdr:colOff>304800</xdr:colOff>
      <xdr:row>13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FD689-CDD4-884B-92B3-38A74B086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59600" y="2590800"/>
          <a:ext cx="2743200" cy="381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26</xdr:col>
      <xdr:colOff>393700</xdr:colOff>
      <xdr:row>15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0413D5-FE44-E346-A361-C58A00584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21500" y="2997200"/>
          <a:ext cx="12192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F6E7-3645-B848-A5E9-496647D28287}">
  <dimension ref="A1:X158"/>
  <sheetViews>
    <sheetView tabSelected="1" topLeftCell="H1" workbookViewId="0">
      <selection activeCell="X3" sqref="X3"/>
    </sheetView>
  </sheetViews>
  <sheetFormatPr baseColWidth="10" defaultColWidth="11" defaultRowHeight="16" x14ac:dyDescent="0.2"/>
  <cols>
    <col min="14" max="16" width="7" customWidth="1"/>
    <col min="17" max="19" width="10.33203125" customWidth="1"/>
    <col min="20" max="20" width="10.1640625" customWidth="1"/>
    <col min="24" max="24" width="11.1640625" bestFit="1" customWidth="1"/>
  </cols>
  <sheetData>
    <row r="1" spans="1:24" ht="2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46</v>
      </c>
      <c r="N1" s="51" t="s">
        <v>43</v>
      </c>
      <c r="O1" s="51" t="s">
        <v>44</v>
      </c>
      <c r="P1" s="48" t="s">
        <v>45</v>
      </c>
      <c r="Q1" s="51" t="s">
        <v>38</v>
      </c>
      <c r="R1" s="51" t="s">
        <v>39</v>
      </c>
      <c r="S1" s="51" t="s">
        <v>37</v>
      </c>
      <c r="T1" s="51" t="s">
        <v>32</v>
      </c>
      <c r="U1" s="51" t="s">
        <v>33</v>
      </c>
      <c r="V1" s="51" t="s">
        <v>49</v>
      </c>
      <c r="W1" s="49" t="s">
        <v>23</v>
      </c>
    </row>
    <row r="2" spans="1:24" x14ac:dyDescent="0.2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6">
        <v>5.5</v>
      </c>
      <c r="H2" s="5">
        <v>22</v>
      </c>
      <c r="I2" s="7" t="s">
        <v>11</v>
      </c>
      <c r="J2" s="8" t="s">
        <v>12</v>
      </c>
      <c r="K2">
        <v>386</v>
      </c>
      <c r="L2">
        <v>97.42375977291556</v>
      </c>
      <c r="M2">
        <v>99.87686903528143</v>
      </c>
      <c r="N2">
        <f t="shared" ref="N2:N33" si="0">IF(I2="normal",1,0)</f>
        <v>0</v>
      </c>
      <c r="O2">
        <f t="shared" ref="O2:O33" si="1">IF(I2="reverse",1,0)</f>
        <v>0</v>
      </c>
      <c r="P2">
        <f>IF(I2="strike slip",1,0)</f>
        <v>1</v>
      </c>
      <c r="Q2">
        <f>IF(G2&gt;$X$3,0,1)</f>
        <v>1</v>
      </c>
      <c r="R2">
        <f>IF(G2&gt;$X$3,1,0)</f>
        <v>0</v>
      </c>
      <c r="S2">
        <v>1</v>
      </c>
      <c r="T2">
        <f>$X$6+($X$7+$X$8*(G2-$X$2))*LOG10((SQRT((M2^2)+($X$9^2))/$X$4))-$X$10*(SQRT((M2^2)+($X$9^2))-$X$4)+Q2*$X$11*(G2-$X$3)+Q2*$X$12*((G2-$X$3)^2)+R2*$X$13*(G2-$X$3)+$X$14*LOG10(K2/$X$5)+$X$15*N2+$X$16*O2+$X$17*P2</f>
        <v>0.97543413076730867</v>
      </c>
      <c r="U2">
        <v>1.0816257118341623</v>
      </c>
      <c r="V2">
        <f>U2-T2</f>
        <v>0.10619158106685367</v>
      </c>
      <c r="W2" t="s">
        <v>25</v>
      </c>
      <c r="X2">
        <v>4.5</v>
      </c>
    </row>
    <row r="3" spans="1:24" x14ac:dyDescent="0.2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6">
        <v>5.5</v>
      </c>
      <c r="H3" s="5">
        <v>22</v>
      </c>
      <c r="I3" s="7" t="s">
        <v>11</v>
      </c>
      <c r="J3" s="8" t="s">
        <v>13</v>
      </c>
      <c r="K3">
        <v>290</v>
      </c>
      <c r="L3">
        <v>57.079414195557547</v>
      </c>
      <c r="M3">
        <v>61.172375504863439</v>
      </c>
      <c r="N3">
        <f t="shared" si="0"/>
        <v>0</v>
      </c>
      <c r="O3">
        <f t="shared" si="1"/>
        <v>0</v>
      </c>
      <c r="P3">
        <f t="shared" ref="P3:P66" si="2">IF(I3="strike slip",1,0)</f>
        <v>1</v>
      </c>
      <c r="Q3">
        <f t="shared" ref="Q3:Q66" si="3">IF(G3&gt;$X$3,0,1)</f>
        <v>1</v>
      </c>
      <c r="R3">
        <f t="shared" ref="R3:R66" si="4">IF(G3&gt;$X$3,1,0)</f>
        <v>0</v>
      </c>
      <c r="S3">
        <v>1</v>
      </c>
      <c r="T3">
        <f t="shared" ref="T3:T66" si="5">$X$6+($X$7+$X$8*(G3-$X$2))*LOG10((SQRT((M3^2)+($X$9^2))/$X$4))-$X$10*(SQRT((M3^2)+($X$9^2))-$X$4)+Q3*$X$11*(G3-$X$3)+Q3*$X$12*((G3-$X$3)^2)+R3*$X$13*(G3-$X$3)+$X$14*LOG10(K3/$X$5)+$X$15*N3+$X$16*O3+$X$17*P3</f>
        <v>1.3273141662329744</v>
      </c>
      <c r="U3">
        <v>0.88794733720253149</v>
      </c>
      <c r="V3">
        <f t="shared" ref="V3:V66" si="6">U3-T3</f>
        <v>-0.43936682903044288</v>
      </c>
      <c r="W3" t="s">
        <v>24</v>
      </c>
      <c r="X3">
        <v>6.75</v>
      </c>
    </row>
    <row r="4" spans="1:24" x14ac:dyDescent="0.2">
      <c r="A4">
        <f t="shared" ref="A4:A67" si="7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6">
        <v>5.5</v>
      </c>
      <c r="H4" s="5">
        <v>22</v>
      </c>
      <c r="I4" s="7" t="s">
        <v>11</v>
      </c>
      <c r="J4" s="8" t="s">
        <v>14</v>
      </c>
      <c r="K4">
        <v>210</v>
      </c>
      <c r="L4">
        <v>199.93485105406191</v>
      </c>
      <c r="M4">
        <v>201.14160351854093</v>
      </c>
      <c r="N4">
        <f t="shared" si="0"/>
        <v>0</v>
      </c>
      <c r="O4">
        <f t="shared" si="1"/>
        <v>0</v>
      </c>
      <c r="P4">
        <f t="shared" si="2"/>
        <v>1</v>
      </c>
      <c r="Q4">
        <f t="shared" si="3"/>
        <v>1</v>
      </c>
      <c r="R4">
        <f t="shared" si="4"/>
        <v>0</v>
      </c>
      <c r="S4">
        <v>1</v>
      </c>
      <c r="T4">
        <f t="shared" si="5"/>
        <v>0.5968307611743735</v>
      </c>
      <c r="U4">
        <v>6.1609810012437656E-2</v>
      </c>
      <c r="V4">
        <f t="shared" si="6"/>
        <v>-0.5352209511619358</v>
      </c>
      <c r="W4" t="s">
        <v>26</v>
      </c>
      <c r="X4">
        <v>1</v>
      </c>
    </row>
    <row r="5" spans="1:24" x14ac:dyDescent="0.2">
      <c r="A5">
        <f t="shared" si="7"/>
        <v>4</v>
      </c>
      <c r="B5" s="2">
        <v>1</v>
      </c>
      <c r="C5" s="9">
        <v>42582</v>
      </c>
      <c r="D5" s="10">
        <v>0.98613425925925924</v>
      </c>
      <c r="E5" s="5">
        <v>-8.24</v>
      </c>
      <c r="F5" s="5">
        <v>117.87</v>
      </c>
      <c r="G5" s="6">
        <v>5.5</v>
      </c>
      <c r="H5" s="5">
        <v>22</v>
      </c>
      <c r="I5" s="2" t="s">
        <v>11</v>
      </c>
      <c r="J5" s="8" t="s">
        <v>15</v>
      </c>
      <c r="K5">
        <v>770</v>
      </c>
      <c r="L5">
        <v>186.18385881689272</v>
      </c>
      <c r="M5">
        <v>187.47914359722429</v>
      </c>
      <c r="N5">
        <f t="shared" si="0"/>
        <v>0</v>
      </c>
      <c r="O5">
        <f t="shared" si="1"/>
        <v>0</v>
      </c>
      <c r="P5">
        <f t="shared" si="2"/>
        <v>1</v>
      </c>
      <c r="Q5">
        <f t="shared" si="3"/>
        <v>1</v>
      </c>
      <c r="R5">
        <f t="shared" si="4"/>
        <v>0</v>
      </c>
      <c r="S5">
        <v>0</v>
      </c>
      <c r="T5">
        <f t="shared" si="5"/>
        <v>0.47755828317698662</v>
      </c>
      <c r="U5">
        <v>0.12280660982896316</v>
      </c>
      <c r="V5">
        <f t="shared" si="6"/>
        <v>-0.35475167334802349</v>
      </c>
      <c r="W5" t="s">
        <v>31</v>
      </c>
      <c r="X5">
        <v>800</v>
      </c>
    </row>
    <row r="6" spans="1:24" x14ac:dyDescent="0.2">
      <c r="A6">
        <f t="shared" si="7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6">
        <v>5.5</v>
      </c>
      <c r="H6" s="5">
        <v>22</v>
      </c>
      <c r="I6" s="7" t="s">
        <v>11</v>
      </c>
      <c r="J6" s="8" t="s">
        <v>16</v>
      </c>
      <c r="K6">
        <v>1141</v>
      </c>
      <c r="L6">
        <v>122.92739866371562</v>
      </c>
      <c r="M6">
        <v>124.88052427111312</v>
      </c>
      <c r="N6">
        <f t="shared" si="0"/>
        <v>0</v>
      </c>
      <c r="O6">
        <f t="shared" si="1"/>
        <v>0</v>
      </c>
      <c r="P6">
        <f t="shared" si="2"/>
        <v>1</v>
      </c>
      <c r="Q6">
        <f t="shared" si="3"/>
        <v>1</v>
      </c>
      <c r="R6">
        <f t="shared" si="4"/>
        <v>0</v>
      </c>
      <c r="S6">
        <v>0</v>
      </c>
      <c r="T6">
        <f t="shared" si="5"/>
        <v>0.69263268981845694</v>
      </c>
      <c r="U6">
        <v>1.0088304466113425</v>
      </c>
      <c r="V6">
        <f t="shared" si="6"/>
        <v>0.31619775679288553</v>
      </c>
      <c r="W6" s="50" t="s">
        <v>30</v>
      </c>
      <c r="X6" s="52">
        <v>4.2739099999999999</v>
      </c>
    </row>
    <row r="7" spans="1:24" x14ac:dyDescent="0.2">
      <c r="A7">
        <f t="shared" si="7"/>
        <v>6</v>
      </c>
      <c r="B7" s="2">
        <f t="shared" ref="B7:B70" si="8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6">
        <v>4.4000000000000004</v>
      </c>
      <c r="H7" s="5">
        <v>11</v>
      </c>
      <c r="I7" s="7" t="s">
        <v>11</v>
      </c>
      <c r="J7" s="8" t="s">
        <v>17</v>
      </c>
      <c r="K7">
        <v>612</v>
      </c>
      <c r="L7">
        <v>51.849622503718564</v>
      </c>
      <c r="M7">
        <v>53.00361642169446</v>
      </c>
      <c r="N7">
        <f t="shared" si="0"/>
        <v>0</v>
      </c>
      <c r="O7">
        <f t="shared" si="1"/>
        <v>0</v>
      </c>
      <c r="P7">
        <f t="shared" si="2"/>
        <v>1</v>
      </c>
      <c r="Q7">
        <f t="shared" si="3"/>
        <v>1</v>
      </c>
      <c r="R7">
        <f t="shared" si="4"/>
        <v>0</v>
      </c>
      <c r="S7">
        <v>0</v>
      </c>
      <c r="T7">
        <f t="shared" si="5"/>
        <v>0.60923233432945023</v>
      </c>
      <c r="U7">
        <v>0.20105769828902634</v>
      </c>
      <c r="V7">
        <f t="shared" si="6"/>
        <v>-0.40817463604042392</v>
      </c>
      <c r="W7" s="50" t="s">
        <v>27</v>
      </c>
      <c r="X7">
        <v>-1.5782099999999999</v>
      </c>
    </row>
    <row r="8" spans="1:24" x14ac:dyDescent="0.2">
      <c r="A8">
        <f t="shared" si="7"/>
        <v>7</v>
      </c>
      <c r="B8" s="2">
        <f t="shared" si="8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6">
        <v>4.4000000000000004</v>
      </c>
      <c r="H8" s="5">
        <v>11</v>
      </c>
      <c r="I8" s="7" t="s">
        <v>11</v>
      </c>
      <c r="J8" s="8" t="s">
        <v>14</v>
      </c>
      <c r="K8">
        <v>210</v>
      </c>
      <c r="L8">
        <v>61.668145708230284</v>
      </c>
      <c r="M8">
        <v>62.641521334427388</v>
      </c>
      <c r="N8">
        <f t="shared" si="0"/>
        <v>0</v>
      </c>
      <c r="O8">
        <f t="shared" si="1"/>
        <v>0</v>
      </c>
      <c r="P8">
        <f t="shared" si="2"/>
        <v>1</v>
      </c>
      <c r="Q8">
        <f t="shared" si="3"/>
        <v>1</v>
      </c>
      <c r="R8">
        <f t="shared" si="4"/>
        <v>0</v>
      </c>
      <c r="S8">
        <v>0</v>
      </c>
      <c r="T8">
        <f t="shared" si="5"/>
        <v>0.6300390206869021</v>
      </c>
      <c r="U8">
        <v>-0.54384651529619843</v>
      </c>
      <c r="V8">
        <f t="shared" si="6"/>
        <v>-1.1738855359831004</v>
      </c>
      <c r="W8" s="50" t="s">
        <v>28</v>
      </c>
      <c r="X8">
        <v>0.10821799999999999</v>
      </c>
    </row>
    <row r="9" spans="1:24" x14ac:dyDescent="0.2">
      <c r="A9">
        <f t="shared" si="7"/>
        <v>8</v>
      </c>
      <c r="B9" s="2">
        <f t="shared" si="8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6">
        <v>4.4000000000000004</v>
      </c>
      <c r="H9" s="5">
        <v>11</v>
      </c>
      <c r="I9" s="7" t="s">
        <v>11</v>
      </c>
      <c r="J9" s="8" t="s">
        <v>16</v>
      </c>
      <c r="K9">
        <v>1141</v>
      </c>
      <c r="L9">
        <v>145.7603890243447</v>
      </c>
      <c r="M9">
        <v>146.17486448951581</v>
      </c>
      <c r="N9">
        <f t="shared" si="0"/>
        <v>0</v>
      </c>
      <c r="O9">
        <f t="shared" si="1"/>
        <v>0</v>
      </c>
      <c r="P9">
        <f t="shared" si="2"/>
        <v>1</v>
      </c>
      <c r="Q9">
        <f t="shared" si="3"/>
        <v>1</v>
      </c>
      <c r="R9">
        <f t="shared" si="4"/>
        <v>0</v>
      </c>
      <c r="S9">
        <v>1</v>
      </c>
      <c r="T9">
        <f t="shared" si="5"/>
        <v>-0.1766688741849014</v>
      </c>
      <c r="U9">
        <v>-0.61317491013052261</v>
      </c>
      <c r="V9">
        <f t="shared" si="6"/>
        <v>-0.43650603594562121</v>
      </c>
      <c r="W9" s="50" t="s">
        <v>7</v>
      </c>
      <c r="X9">
        <v>4.8274299999999997</v>
      </c>
    </row>
    <row r="10" spans="1:24" x14ac:dyDescent="0.2">
      <c r="A10">
        <f t="shared" si="7"/>
        <v>9</v>
      </c>
      <c r="B10" s="2">
        <f t="shared" si="8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6">
        <v>3.9</v>
      </c>
      <c r="H10" s="5">
        <v>10</v>
      </c>
      <c r="I10" s="7" t="s">
        <v>11</v>
      </c>
      <c r="J10" s="8" t="s">
        <v>17</v>
      </c>
      <c r="K10">
        <v>612</v>
      </c>
      <c r="L10">
        <v>92.404790052454644</v>
      </c>
      <c r="M10">
        <v>92.944312492148882</v>
      </c>
      <c r="N10">
        <f t="shared" si="0"/>
        <v>0</v>
      </c>
      <c r="O10">
        <f t="shared" si="1"/>
        <v>0</v>
      </c>
      <c r="P10">
        <f t="shared" si="2"/>
        <v>1</v>
      </c>
      <c r="Q10">
        <f t="shared" si="3"/>
        <v>1</v>
      </c>
      <c r="R10">
        <f t="shared" si="4"/>
        <v>0</v>
      </c>
      <c r="S10">
        <v>0</v>
      </c>
      <c r="T10">
        <f t="shared" si="5"/>
        <v>-0.17284110988589729</v>
      </c>
      <c r="U10">
        <v>-0.6947963961263649</v>
      </c>
      <c r="V10">
        <f t="shared" si="6"/>
        <v>-0.52195528624046761</v>
      </c>
      <c r="W10" s="50" t="s">
        <v>29</v>
      </c>
      <c r="X10">
        <v>9.6399999999999999E-5</v>
      </c>
    </row>
    <row r="11" spans="1:24" x14ac:dyDescent="0.2">
      <c r="A11">
        <f t="shared" si="7"/>
        <v>10</v>
      </c>
      <c r="B11" s="2">
        <f t="shared" si="8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6">
        <v>3.9</v>
      </c>
      <c r="H11" s="5">
        <v>10</v>
      </c>
      <c r="I11" s="7" t="s">
        <v>11</v>
      </c>
      <c r="J11" s="8" t="s">
        <v>14</v>
      </c>
      <c r="K11">
        <v>210</v>
      </c>
      <c r="L11">
        <v>99.718584231845142</v>
      </c>
      <c r="M11">
        <v>100.21874096796265</v>
      </c>
      <c r="N11">
        <f t="shared" si="0"/>
        <v>0</v>
      </c>
      <c r="O11">
        <f t="shared" si="1"/>
        <v>0</v>
      </c>
      <c r="P11">
        <f t="shared" si="2"/>
        <v>1</v>
      </c>
      <c r="Q11">
        <f t="shared" si="3"/>
        <v>1</v>
      </c>
      <c r="R11">
        <f t="shared" si="4"/>
        <v>0</v>
      </c>
      <c r="S11">
        <v>0</v>
      </c>
      <c r="T11">
        <f t="shared" si="5"/>
        <v>-9.0960463756289897E-2</v>
      </c>
      <c r="U11">
        <v>-1.452176823655444</v>
      </c>
      <c r="V11">
        <f t="shared" si="6"/>
        <v>-1.361216359899154</v>
      </c>
      <c r="W11" s="50" t="s">
        <v>34</v>
      </c>
      <c r="X11">
        <v>0.217109</v>
      </c>
    </row>
    <row r="12" spans="1:24" x14ac:dyDescent="0.2">
      <c r="A12">
        <f t="shared" si="7"/>
        <v>11</v>
      </c>
      <c r="B12" s="2">
        <f t="shared" si="8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6">
        <v>3.9</v>
      </c>
      <c r="H12" s="5">
        <v>10</v>
      </c>
      <c r="I12" s="7" t="s">
        <v>11</v>
      </c>
      <c r="J12" s="8" t="s">
        <v>16</v>
      </c>
      <c r="K12">
        <v>1141</v>
      </c>
      <c r="L12">
        <v>186.63118908550243</v>
      </c>
      <c r="M12">
        <v>186.89890513180796</v>
      </c>
      <c r="N12">
        <f t="shared" si="0"/>
        <v>0</v>
      </c>
      <c r="O12">
        <f t="shared" si="1"/>
        <v>0</v>
      </c>
      <c r="P12">
        <f t="shared" si="2"/>
        <v>1</v>
      </c>
      <c r="Q12">
        <f t="shared" si="3"/>
        <v>1</v>
      </c>
      <c r="R12">
        <f t="shared" si="4"/>
        <v>0</v>
      </c>
      <c r="S12">
        <v>1</v>
      </c>
      <c r="T12">
        <f t="shared" si="5"/>
        <v>-0.75900351012151779</v>
      </c>
      <c r="U12">
        <v>-1.7642039661725091</v>
      </c>
      <c r="V12">
        <f t="shared" si="6"/>
        <v>-1.0052004560509913</v>
      </c>
      <c r="W12" s="50" t="s">
        <v>35</v>
      </c>
      <c r="X12">
        <v>-6.8260000000000001E-2</v>
      </c>
    </row>
    <row r="13" spans="1:24" x14ac:dyDescent="0.2">
      <c r="A13">
        <f t="shared" si="7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6">
        <v>4</v>
      </c>
      <c r="H13" s="5">
        <v>24</v>
      </c>
      <c r="I13" s="7" t="s">
        <v>11</v>
      </c>
      <c r="J13" s="8" t="s">
        <v>18</v>
      </c>
      <c r="K13">
        <v>283</v>
      </c>
      <c r="L13">
        <v>71.326978734067708</v>
      </c>
      <c r="M13">
        <v>75.256480753023169</v>
      </c>
      <c r="N13">
        <f t="shared" si="0"/>
        <v>0</v>
      </c>
      <c r="O13">
        <f t="shared" si="1"/>
        <v>0</v>
      </c>
      <c r="P13">
        <f t="shared" si="2"/>
        <v>1</v>
      </c>
      <c r="Q13">
        <f t="shared" si="3"/>
        <v>1</v>
      </c>
      <c r="R13">
        <f t="shared" si="4"/>
        <v>0</v>
      </c>
      <c r="S13">
        <v>0</v>
      </c>
      <c r="T13">
        <f t="shared" si="5"/>
        <v>0.15747815208799049</v>
      </c>
      <c r="U13">
        <v>-0.51417309437782721</v>
      </c>
      <c r="V13">
        <f t="shared" si="6"/>
        <v>-0.67165124646581775</v>
      </c>
      <c r="W13" s="50" t="s">
        <v>36</v>
      </c>
      <c r="X13">
        <v>0.35297600000000001</v>
      </c>
    </row>
    <row r="14" spans="1:24" x14ac:dyDescent="0.2">
      <c r="A14" s="11">
        <f t="shared" si="7"/>
        <v>13</v>
      </c>
      <c r="B14" s="12">
        <f t="shared" si="8"/>
        <v>5</v>
      </c>
      <c r="C14" s="13">
        <v>42912</v>
      </c>
      <c r="D14" s="14" t="s">
        <v>19</v>
      </c>
      <c r="E14" s="15">
        <v>-8.44</v>
      </c>
      <c r="F14" s="15">
        <v>117.26</v>
      </c>
      <c r="G14" s="16">
        <v>3.8</v>
      </c>
      <c r="H14" s="15">
        <v>10</v>
      </c>
      <c r="I14" s="17" t="s">
        <v>11</v>
      </c>
      <c r="J14" s="18" t="s">
        <v>18</v>
      </c>
      <c r="K14">
        <v>283</v>
      </c>
      <c r="L14">
        <v>17.815188989454146</v>
      </c>
      <c r="M14">
        <v>20.429903541866473</v>
      </c>
      <c r="N14">
        <f t="shared" si="0"/>
        <v>0</v>
      </c>
      <c r="O14">
        <f t="shared" si="1"/>
        <v>0</v>
      </c>
      <c r="P14">
        <f t="shared" si="2"/>
        <v>1</v>
      </c>
      <c r="Q14">
        <f t="shared" si="3"/>
        <v>1</v>
      </c>
      <c r="R14">
        <f t="shared" si="4"/>
        <v>0</v>
      </c>
      <c r="S14">
        <v>0</v>
      </c>
      <c r="T14">
        <f t="shared" si="5"/>
        <v>0.9194150145141663</v>
      </c>
      <c r="U14">
        <v>0.27386909088665323</v>
      </c>
      <c r="V14">
        <f t="shared" si="6"/>
        <v>-0.64554592362751306</v>
      </c>
      <c r="W14" s="50" t="s">
        <v>48</v>
      </c>
      <c r="X14">
        <v>-0.293242</v>
      </c>
    </row>
    <row r="15" spans="1:24" ht="18" x14ac:dyDescent="0.25">
      <c r="A15">
        <f t="shared" si="7"/>
        <v>14</v>
      </c>
      <c r="B15" s="2">
        <f t="shared" si="8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6">
        <v>5.0999999999999996</v>
      </c>
      <c r="H15" s="5">
        <v>30</v>
      </c>
      <c r="I15" s="7" t="s">
        <v>20</v>
      </c>
      <c r="J15" s="8" t="s">
        <v>12</v>
      </c>
      <c r="K15">
        <v>386</v>
      </c>
      <c r="L15">
        <v>73.482911519556041</v>
      </c>
      <c r="M15">
        <v>79.370890667743566</v>
      </c>
      <c r="N15">
        <f t="shared" si="0"/>
        <v>0</v>
      </c>
      <c r="O15">
        <f t="shared" si="1"/>
        <v>1</v>
      </c>
      <c r="P15">
        <f t="shared" si="2"/>
        <v>0</v>
      </c>
      <c r="Q15">
        <f t="shared" si="3"/>
        <v>1</v>
      </c>
      <c r="R15">
        <f t="shared" si="4"/>
        <v>0</v>
      </c>
      <c r="S15">
        <v>0</v>
      </c>
      <c r="T15">
        <f t="shared" si="5"/>
        <v>1.0501328891262283</v>
      </c>
      <c r="U15">
        <v>0.26482470032038985</v>
      </c>
      <c r="V15">
        <f t="shared" si="6"/>
        <v>-0.78530818880583841</v>
      </c>
      <c r="W15" s="50" t="s">
        <v>40</v>
      </c>
      <c r="X15">
        <v>-4.7210000000000002E-2</v>
      </c>
    </row>
    <row r="16" spans="1:24" ht="18" x14ac:dyDescent="0.25">
      <c r="A16">
        <f t="shared" si="7"/>
        <v>15</v>
      </c>
      <c r="B16" s="2">
        <f t="shared" si="8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6">
        <v>5.0999999999999996</v>
      </c>
      <c r="H16" s="5">
        <v>30</v>
      </c>
      <c r="I16" s="7" t="s">
        <v>20</v>
      </c>
      <c r="J16" s="8" t="s">
        <v>13</v>
      </c>
      <c r="K16">
        <v>290</v>
      </c>
      <c r="L16">
        <v>86.954160124792679</v>
      </c>
      <c r="M16">
        <v>91.983835335389699</v>
      </c>
      <c r="N16">
        <f t="shared" si="0"/>
        <v>0</v>
      </c>
      <c r="O16">
        <f t="shared" si="1"/>
        <v>1</v>
      </c>
      <c r="P16">
        <f t="shared" si="2"/>
        <v>0</v>
      </c>
      <c r="Q16">
        <f t="shared" si="3"/>
        <v>1</v>
      </c>
      <c r="R16">
        <f t="shared" si="4"/>
        <v>0</v>
      </c>
      <c r="S16">
        <v>0</v>
      </c>
      <c r="T16">
        <f t="shared" si="5"/>
        <v>0.9887200405792882</v>
      </c>
      <c r="U16">
        <v>0.71878308912273081</v>
      </c>
      <c r="V16">
        <f t="shared" si="6"/>
        <v>-0.26993695145655738</v>
      </c>
      <c r="W16" s="50" t="s">
        <v>41</v>
      </c>
      <c r="X16">
        <v>0.11097899999999999</v>
      </c>
    </row>
    <row r="17" spans="1:24" ht="18" x14ac:dyDescent="0.25">
      <c r="A17">
        <f t="shared" si="7"/>
        <v>16</v>
      </c>
      <c r="B17" s="2">
        <f t="shared" si="8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6">
        <v>5.0999999999999996</v>
      </c>
      <c r="H17" s="5">
        <v>30</v>
      </c>
      <c r="I17" s="7" t="s">
        <v>20</v>
      </c>
      <c r="J17" s="8" t="s">
        <v>18</v>
      </c>
      <c r="K17">
        <v>283</v>
      </c>
      <c r="L17">
        <v>167.80782469041785</v>
      </c>
      <c r="M17">
        <v>170.4683725132906</v>
      </c>
      <c r="N17">
        <f t="shared" si="0"/>
        <v>0</v>
      </c>
      <c r="O17">
        <f t="shared" si="1"/>
        <v>1</v>
      </c>
      <c r="P17">
        <f t="shared" si="2"/>
        <v>0</v>
      </c>
      <c r="Q17">
        <f t="shared" si="3"/>
        <v>1</v>
      </c>
      <c r="R17">
        <f t="shared" si="4"/>
        <v>0</v>
      </c>
      <c r="S17">
        <v>1</v>
      </c>
      <c r="T17">
        <f t="shared" si="5"/>
        <v>0.57945553321372434</v>
      </c>
      <c r="U17">
        <v>-0.52646742800271451</v>
      </c>
      <c r="V17">
        <f t="shared" si="6"/>
        <v>-1.105922961216439</v>
      </c>
      <c r="W17" s="50" t="s">
        <v>42</v>
      </c>
      <c r="X17">
        <v>-6.3759999999999997E-2</v>
      </c>
    </row>
    <row r="18" spans="1:24" x14ac:dyDescent="0.2">
      <c r="A18">
        <f t="shared" si="7"/>
        <v>17</v>
      </c>
      <c r="B18" s="2">
        <f t="shared" si="8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6">
        <v>5.0999999999999996</v>
      </c>
      <c r="H18" s="5">
        <v>30</v>
      </c>
      <c r="I18" s="7" t="s">
        <v>20</v>
      </c>
      <c r="J18" s="8" t="s">
        <v>16</v>
      </c>
      <c r="K18">
        <v>1141</v>
      </c>
      <c r="L18">
        <v>232.99229188908313</v>
      </c>
      <c r="M18">
        <v>234.91574676834185</v>
      </c>
      <c r="N18">
        <f t="shared" si="0"/>
        <v>0</v>
      </c>
      <c r="O18">
        <f t="shared" si="1"/>
        <v>1</v>
      </c>
      <c r="P18">
        <f t="shared" si="2"/>
        <v>0</v>
      </c>
      <c r="Q18">
        <f t="shared" si="3"/>
        <v>1</v>
      </c>
      <c r="R18">
        <f t="shared" si="4"/>
        <v>0</v>
      </c>
      <c r="S18">
        <v>1</v>
      </c>
      <c r="T18">
        <f t="shared" si="5"/>
        <v>0.18505965180587544</v>
      </c>
      <c r="U18">
        <v>-0.67997053075254688</v>
      </c>
      <c r="V18">
        <f t="shared" si="6"/>
        <v>-0.86503018255842234</v>
      </c>
    </row>
    <row r="19" spans="1:24" x14ac:dyDescent="0.2">
      <c r="A19">
        <f t="shared" si="7"/>
        <v>18</v>
      </c>
      <c r="B19" s="2">
        <f t="shared" si="8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6">
        <v>4.9000000000000004</v>
      </c>
      <c r="H19" s="5">
        <v>17</v>
      </c>
      <c r="I19" s="7" t="s">
        <v>20</v>
      </c>
      <c r="J19" s="8" t="s">
        <v>13</v>
      </c>
      <c r="K19">
        <v>290</v>
      </c>
      <c r="L19">
        <v>87.504747432513781</v>
      </c>
      <c r="M19">
        <v>89.140792139334437</v>
      </c>
      <c r="N19">
        <f t="shared" si="0"/>
        <v>0</v>
      </c>
      <c r="O19">
        <f t="shared" si="1"/>
        <v>1</v>
      </c>
      <c r="P19">
        <f t="shared" si="2"/>
        <v>0</v>
      </c>
      <c r="Q19">
        <f t="shared" si="3"/>
        <v>1</v>
      </c>
      <c r="R19">
        <f t="shared" si="4"/>
        <v>0</v>
      </c>
      <c r="S19">
        <v>0</v>
      </c>
      <c r="T19">
        <f t="shared" si="5"/>
        <v>0.87614459505485054</v>
      </c>
      <c r="U19">
        <v>1.1331538993578072</v>
      </c>
      <c r="V19">
        <f t="shared" si="6"/>
        <v>0.25700930430295665</v>
      </c>
    </row>
    <row r="20" spans="1:24" x14ac:dyDescent="0.2">
      <c r="A20" s="11">
        <f t="shared" si="7"/>
        <v>19</v>
      </c>
      <c r="B20" s="12">
        <f t="shared" si="8"/>
        <v>7</v>
      </c>
      <c r="C20" s="13">
        <v>43130</v>
      </c>
      <c r="D20" s="14">
        <v>8.3715277777777777E-2</v>
      </c>
      <c r="E20" s="15">
        <v>-7.9</v>
      </c>
      <c r="F20" s="15">
        <v>118.82</v>
      </c>
      <c r="G20" s="16">
        <v>4.9000000000000004</v>
      </c>
      <c r="H20" s="15">
        <v>17</v>
      </c>
      <c r="I20" s="17" t="s">
        <v>20</v>
      </c>
      <c r="J20" s="18" t="s">
        <v>16</v>
      </c>
      <c r="K20">
        <v>1141</v>
      </c>
      <c r="L20">
        <v>234.58300285380335</v>
      </c>
      <c r="M20">
        <v>235.198182875437</v>
      </c>
      <c r="N20">
        <f t="shared" si="0"/>
        <v>0</v>
      </c>
      <c r="O20">
        <f t="shared" si="1"/>
        <v>1</v>
      </c>
      <c r="P20">
        <f t="shared" si="2"/>
        <v>0</v>
      </c>
      <c r="Q20">
        <f t="shared" si="3"/>
        <v>1</v>
      </c>
      <c r="R20">
        <f t="shared" si="4"/>
        <v>0</v>
      </c>
      <c r="S20">
        <v>1</v>
      </c>
      <c r="T20">
        <f t="shared" si="5"/>
        <v>4.1710937156543754E-2</v>
      </c>
      <c r="U20">
        <v>-0.3530434916100858</v>
      </c>
      <c r="V20">
        <f t="shared" si="6"/>
        <v>-0.39475442876662958</v>
      </c>
    </row>
    <row r="21" spans="1:24" x14ac:dyDescent="0.2">
      <c r="A21" s="11">
        <f t="shared" si="7"/>
        <v>20</v>
      </c>
      <c r="B21" s="12">
        <f t="shared" si="8"/>
        <v>8</v>
      </c>
      <c r="C21" s="13">
        <v>43133</v>
      </c>
      <c r="D21" s="14">
        <v>0.24946759259182727</v>
      </c>
      <c r="E21" s="15">
        <v>-7.98</v>
      </c>
      <c r="F21" s="15">
        <v>115.88</v>
      </c>
      <c r="G21" s="16">
        <v>4.7</v>
      </c>
      <c r="H21" s="15">
        <v>27</v>
      </c>
      <c r="I21" s="17" t="s">
        <v>11</v>
      </c>
      <c r="J21" s="18" t="s">
        <v>16</v>
      </c>
      <c r="K21">
        <v>1141</v>
      </c>
      <c r="L21">
        <v>139.59393854085613</v>
      </c>
      <c r="M21">
        <v>142.18110872175782</v>
      </c>
      <c r="N21">
        <f t="shared" si="0"/>
        <v>0</v>
      </c>
      <c r="O21">
        <f t="shared" si="1"/>
        <v>0</v>
      </c>
      <c r="P21">
        <f t="shared" si="2"/>
        <v>1</v>
      </c>
      <c r="Q21">
        <f t="shared" si="3"/>
        <v>1</v>
      </c>
      <c r="R21">
        <f t="shared" si="4"/>
        <v>0</v>
      </c>
      <c r="S21">
        <v>1</v>
      </c>
      <c r="T21">
        <f t="shared" si="5"/>
        <v>6.7948718098190211E-2</v>
      </c>
      <c r="U21">
        <v>-0.50473772648698223</v>
      </c>
      <c r="V21">
        <f t="shared" si="6"/>
        <v>-0.57268644458517248</v>
      </c>
    </row>
    <row r="22" spans="1:24" x14ac:dyDescent="0.2">
      <c r="A22">
        <f t="shared" si="7"/>
        <v>21</v>
      </c>
      <c r="B22" s="2">
        <f t="shared" si="8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6">
        <v>3.6</v>
      </c>
      <c r="H22" s="5">
        <v>10</v>
      </c>
      <c r="I22" s="7" t="s">
        <v>20</v>
      </c>
      <c r="J22" s="8" t="s">
        <v>16</v>
      </c>
      <c r="K22">
        <v>1141</v>
      </c>
      <c r="L22">
        <v>94.330220972540559</v>
      </c>
      <c r="M22">
        <v>94.858792890950966</v>
      </c>
      <c r="N22">
        <f t="shared" si="0"/>
        <v>0</v>
      </c>
      <c r="O22">
        <f t="shared" si="1"/>
        <v>1</v>
      </c>
      <c r="P22">
        <f t="shared" si="2"/>
        <v>0</v>
      </c>
      <c r="Q22">
        <f t="shared" si="3"/>
        <v>1</v>
      </c>
      <c r="R22">
        <f t="shared" si="4"/>
        <v>0</v>
      </c>
      <c r="S22">
        <v>1</v>
      </c>
      <c r="T22">
        <f t="shared" si="5"/>
        <v>-0.3443352503158148</v>
      </c>
      <c r="U22">
        <v>-0.45129895316343499</v>
      </c>
      <c r="V22">
        <f t="shared" si="6"/>
        <v>-0.10696370284762019</v>
      </c>
    </row>
    <row r="23" spans="1:24" x14ac:dyDescent="0.2">
      <c r="A23" s="19">
        <f t="shared" si="7"/>
        <v>22</v>
      </c>
      <c r="B23" s="20">
        <f t="shared" si="8"/>
        <v>10</v>
      </c>
      <c r="C23" s="21">
        <v>43309</v>
      </c>
      <c r="D23" s="22">
        <v>0.94975694445020054</v>
      </c>
      <c r="E23" s="23">
        <v>-8.2799999999999994</v>
      </c>
      <c r="F23" s="23">
        <v>116.51</v>
      </c>
      <c r="G23" s="24">
        <v>6.5</v>
      </c>
      <c r="H23" s="23">
        <v>13</v>
      </c>
      <c r="I23" s="25" t="s">
        <v>20</v>
      </c>
      <c r="J23" s="26" t="s">
        <v>18</v>
      </c>
      <c r="K23">
        <v>283</v>
      </c>
      <c r="L23">
        <v>102.95038203100468</v>
      </c>
      <c r="M23">
        <v>103.76791970705499</v>
      </c>
      <c r="N23">
        <f t="shared" si="0"/>
        <v>0</v>
      </c>
      <c r="O23">
        <f t="shared" si="1"/>
        <v>1</v>
      </c>
      <c r="P23">
        <f t="shared" si="2"/>
        <v>0</v>
      </c>
      <c r="Q23">
        <f t="shared" si="3"/>
        <v>1</v>
      </c>
      <c r="R23">
        <f t="shared" si="4"/>
        <v>0</v>
      </c>
      <c r="S23">
        <v>0</v>
      </c>
      <c r="T23">
        <f t="shared" si="5"/>
        <v>1.7027073972420335</v>
      </c>
      <c r="U23">
        <v>1.1713218447196319</v>
      </c>
      <c r="V23">
        <f t="shared" si="6"/>
        <v>-0.53138555252240161</v>
      </c>
    </row>
    <row r="24" spans="1:24" x14ac:dyDescent="0.2">
      <c r="A24">
        <f t="shared" si="7"/>
        <v>23</v>
      </c>
      <c r="B24" s="2">
        <f t="shared" si="8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6">
        <v>4.9000000000000004</v>
      </c>
      <c r="H24" s="5">
        <v>10</v>
      </c>
      <c r="I24" s="7" t="s">
        <v>20</v>
      </c>
      <c r="J24" s="8" t="s">
        <v>18</v>
      </c>
      <c r="K24">
        <v>283</v>
      </c>
      <c r="L24">
        <v>103.61008734061461</v>
      </c>
      <c r="M24">
        <v>104.09154720115264</v>
      </c>
      <c r="N24">
        <f t="shared" si="0"/>
        <v>0</v>
      </c>
      <c r="O24">
        <f t="shared" si="1"/>
        <v>1</v>
      </c>
      <c r="P24">
        <f t="shared" si="2"/>
        <v>0</v>
      </c>
      <c r="Q24">
        <f t="shared" si="3"/>
        <v>1</v>
      </c>
      <c r="R24">
        <f t="shared" si="4"/>
        <v>0</v>
      </c>
      <c r="S24">
        <v>1</v>
      </c>
      <c r="T24">
        <f t="shared" si="5"/>
        <v>0.77471675043426869</v>
      </c>
      <c r="U24">
        <v>-0.16858737018768091</v>
      </c>
      <c r="V24">
        <f t="shared" si="6"/>
        <v>-0.94330412062194957</v>
      </c>
    </row>
    <row r="25" spans="1:24" x14ac:dyDescent="0.2">
      <c r="A25">
        <f t="shared" si="7"/>
        <v>24</v>
      </c>
      <c r="B25" s="2">
        <f t="shared" si="8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6">
        <v>5.4</v>
      </c>
      <c r="H25" s="5">
        <v>10</v>
      </c>
      <c r="I25" s="7" t="s">
        <v>20</v>
      </c>
      <c r="J25" s="8" t="s">
        <v>13</v>
      </c>
      <c r="K25">
        <v>290</v>
      </c>
      <c r="L25">
        <v>208.12715043998526</v>
      </c>
      <c r="M25">
        <v>208.36724970654157</v>
      </c>
      <c r="N25">
        <f t="shared" si="0"/>
        <v>0</v>
      </c>
      <c r="O25">
        <f t="shared" si="1"/>
        <v>1</v>
      </c>
      <c r="P25">
        <f t="shared" si="2"/>
        <v>0</v>
      </c>
      <c r="Q25">
        <f t="shared" si="3"/>
        <v>1</v>
      </c>
      <c r="R25">
        <f t="shared" si="4"/>
        <v>0</v>
      </c>
      <c r="S25">
        <v>1</v>
      </c>
      <c r="T25">
        <f t="shared" si="5"/>
        <v>0.64269459549566288</v>
      </c>
      <c r="U25">
        <v>-7.3769583344820339E-2</v>
      </c>
      <c r="V25">
        <f t="shared" si="6"/>
        <v>-0.71646417884048319</v>
      </c>
    </row>
    <row r="26" spans="1:24" x14ac:dyDescent="0.2">
      <c r="A26">
        <f t="shared" si="7"/>
        <v>25</v>
      </c>
      <c r="B26" s="2">
        <f t="shared" si="8"/>
        <v>12</v>
      </c>
      <c r="C26" s="27">
        <v>43310</v>
      </c>
      <c r="D26" s="28">
        <v>7.6759259259259263E-2</v>
      </c>
      <c r="E26" s="29">
        <v>-8.2200000000000006</v>
      </c>
      <c r="F26" s="29">
        <v>116.46</v>
      </c>
      <c r="G26" s="6">
        <v>5.4</v>
      </c>
      <c r="H26" s="29">
        <v>10</v>
      </c>
      <c r="I26" s="2" t="s">
        <v>20</v>
      </c>
      <c r="J26" s="8" t="s">
        <v>15</v>
      </c>
      <c r="K26">
        <v>770</v>
      </c>
      <c r="L26">
        <v>63.920882697035651</v>
      </c>
      <c r="M26">
        <v>64.698371268279942</v>
      </c>
      <c r="N26">
        <f t="shared" si="0"/>
        <v>0</v>
      </c>
      <c r="O26">
        <f t="shared" si="1"/>
        <v>1</v>
      </c>
      <c r="P26">
        <f t="shared" si="2"/>
        <v>0</v>
      </c>
      <c r="Q26">
        <f t="shared" si="3"/>
        <v>1</v>
      </c>
      <c r="R26">
        <f t="shared" si="4"/>
        <v>0</v>
      </c>
      <c r="S26">
        <v>1</v>
      </c>
      <c r="T26">
        <f t="shared" si="5"/>
        <v>1.2827166517728372</v>
      </c>
      <c r="U26">
        <v>0.12074305173357539</v>
      </c>
      <c r="V26">
        <f t="shared" si="6"/>
        <v>-1.1619736000392618</v>
      </c>
    </row>
    <row r="27" spans="1:24" x14ac:dyDescent="0.2">
      <c r="A27">
        <f t="shared" si="7"/>
        <v>26</v>
      </c>
      <c r="B27" s="2">
        <f t="shared" si="8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6">
        <v>5.4</v>
      </c>
      <c r="H27" s="5">
        <v>10</v>
      </c>
      <c r="I27" s="7" t="s">
        <v>20</v>
      </c>
      <c r="J27" s="8" t="s">
        <v>18</v>
      </c>
      <c r="K27">
        <v>283</v>
      </c>
      <c r="L27">
        <v>109.98524049130438</v>
      </c>
      <c r="M27">
        <v>110.43891128551594</v>
      </c>
      <c r="N27">
        <f t="shared" si="0"/>
        <v>0</v>
      </c>
      <c r="O27">
        <f t="shared" si="1"/>
        <v>1</v>
      </c>
      <c r="P27">
        <f t="shared" si="2"/>
        <v>0</v>
      </c>
      <c r="Q27">
        <f t="shared" si="3"/>
        <v>1</v>
      </c>
      <c r="R27">
        <f t="shared" si="4"/>
        <v>0</v>
      </c>
      <c r="S27">
        <v>1</v>
      </c>
      <c r="T27">
        <f t="shared" si="5"/>
        <v>1.0630718520465701</v>
      </c>
      <c r="U27">
        <v>3.9236646429531181E-2</v>
      </c>
      <c r="V27">
        <f t="shared" si="6"/>
        <v>-1.0238352056170388</v>
      </c>
    </row>
    <row r="28" spans="1:24" x14ac:dyDescent="0.2">
      <c r="A28">
        <f t="shared" si="7"/>
        <v>27</v>
      </c>
      <c r="B28" s="2">
        <f t="shared" si="8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6">
        <v>5.4</v>
      </c>
      <c r="H28" s="5">
        <v>10</v>
      </c>
      <c r="I28" s="7" t="s">
        <v>20</v>
      </c>
      <c r="J28" s="8" t="s">
        <v>16</v>
      </c>
      <c r="K28">
        <v>1141</v>
      </c>
      <c r="L28">
        <v>74.238713416035168</v>
      </c>
      <c r="M28">
        <v>74.909188819985232</v>
      </c>
      <c r="N28">
        <f t="shared" si="0"/>
        <v>0</v>
      </c>
      <c r="O28">
        <f t="shared" si="1"/>
        <v>1</v>
      </c>
      <c r="P28">
        <f t="shared" si="2"/>
        <v>0</v>
      </c>
      <c r="Q28">
        <f t="shared" si="3"/>
        <v>1</v>
      </c>
      <c r="R28">
        <f t="shared" si="4"/>
        <v>0</v>
      </c>
      <c r="S28">
        <v>1</v>
      </c>
      <c r="T28">
        <f t="shared" si="5"/>
        <v>1.1378614452016558</v>
      </c>
      <c r="U28">
        <v>0.32708084321867004</v>
      </c>
      <c r="V28">
        <f t="shared" si="6"/>
        <v>-0.81078060198298574</v>
      </c>
    </row>
    <row r="29" spans="1:24" x14ac:dyDescent="0.2">
      <c r="A29">
        <f t="shared" si="7"/>
        <v>28</v>
      </c>
      <c r="B29" s="2">
        <f t="shared" si="8"/>
        <v>13</v>
      </c>
      <c r="C29" s="27">
        <v>43310</v>
      </c>
      <c r="D29" s="28">
        <v>0.48100694444444447</v>
      </c>
      <c r="E29" s="29">
        <v>-8.33</v>
      </c>
      <c r="F29" s="29">
        <v>116.43</v>
      </c>
      <c r="G29" s="6">
        <v>3.5</v>
      </c>
      <c r="H29" s="29">
        <v>10</v>
      </c>
      <c r="I29" s="2" t="s">
        <v>20</v>
      </c>
      <c r="J29" s="8" t="s">
        <v>15</v>
      </c>
      <c r="K29">
        <v>770</v>
      </c>
      <c r="L29">
        <v>51.276522104060916</v>
      </c>
      <c r="M29">
        <v>52.242527878044413</v>
      </c>
      <c r="N29">
        <f t="shared" si="0"/>
        <v>0</v>
      </c>
      <c r="O29">
        <f t="shared" si="1"/>
        <v>1</v>
      </c>
      <c r="P29">
        <f t="shared" si="2"/>
        <v>0</v>
      </c>
      <c r="Q29">
        <f t="shared" si="3"/>
        <v>1</v>
      </c>
      <c r="R29">
        <f t="shared" si="4"/>
        <v>0</v>
      </c>
      <c r="S29">
        <v>1</v>
      </c>
      <c r="T29">
        <f t="shared" si="5"/>
        <v>5.7757212169799413E-2</v>
      </c>
      <c r="U29">
        <v>-0.79029462206633661</v>
      </c>
      <c r="V29">
        <f t="shared" si="6"/>
        <v>-0.84805183423613606</v>
      </c>
    </row>
    <row r="30" spans="1:24" x14ac:dyDescent="0.2">
      <c r="A30">
        <f t="shared" si="7"/>
        <v>29</v>
      </c>
      <c r="B30" s="2">
        <f t="shared" si="8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6">
        <v>4.2</v>
      </c>
      <c r="H30" s="5">
        <v>10</v>
      </c>
      <c r="I30" s="7" t="s">
        <v>20</v>
      </c>
      <c r="J30" s="8" t="s">
        <v>13</v>
      </c>
      <c r="K30">
        <v>290</v>
      </c>
      <c r="L30">
        <v>184.73212793909977</v>
      </c>
      <c r="M30">
        <v>185.00259212483465</v>
      </c>
      <c r="N30">
        <f t="shared" si="0"/>
        <v>0</v>
      </c>
      <c r="O30">
        <f t="shared" si="1"/>
        <v>1</v>
      </c>
      <c r="P30">
        <f t="shared" si="2"/>
        <v>0</v>
      </c>
      <c r="Q30">
        <f t="shared" si="3"/>
        <v>1</v>
      </c>
      <c r="R30">
        <f t="shared" si="4"/>
        <v>0</v>
      </c>
      <c r="S30">
        <v>0</v>
      </c>
      <c r="T30">
        <f t="shared" si="5"/>
        <v>-0.15303971417461898</v>
      </c>
      <c r="U30">
        <v>-1.1234216770291805</v>
      </c>
      <c r="V30">
        <f t="shared" si="6"/>
        <v>-0.97038196285456157</v>
      </c>
    </row>
    <row r="31" spans="1:24" x14ac:dyDescent="0.2">
      <c r="A31" s="19">
        <f t="shared" si="7"/>
        <v>30</v>
      </c>
      <c r="B31" s="20">
        <f t="shared" si="8"/>
        <v>15</v>
      </c>
      <c r="C31" s="30">
        <v>43317</v>
      </c>
      <c r="D31" s="31">
        <v>0.49070601851851853</v>
      </c>
      <c r="E31" s="32">
        <v>-8.2899999999999991</v>
      </c>
      <c r="F31" s="32">
        <v>116.48</v>
      </c>
      <c r="G31" s="24">
        <v>6.9</v>
      </c>
      <c r="H31" s="32">
        <v>17.8</v>
      </c>
      <c r="I31" s="20" t="s">
        <v>20</v>
      </c>
      <c r="J31" s="26" t="s">
        <v>15</v>
      </c>
      <c r="K31">
        <v>770</v>
      </c>
      <c r="L31">
        <v>57.419723907976618</v>
      </c>
      <c r="M31">
        <v>60.115428083548252</v>
      </c>
      <c r="N31">
        <f t="shared" si="0"/>
        <v>0</v>
      </c>
      <c r="O31">
        <f t="shared" si="1"/>
        <v>1</v>
      </c>
      <c r="P31">
        <f t="shared" si="2"/>
        <v>0</v>
      </c>
      <c r="Q31">
        <f t="shared" si="3"/>
        <v>0</v>
      </c>
      <c r="R31">
        <f t="shared" si="4"/>
        <v>1</v>
      </c>
      <c r="S31">
        <v>1</v>
      </c>
      <c r="T31">
        <f t="shared" si="5"/>
        <v>2.089575812540966</v>
      </c>
      <c r="U31">
        <v>1.5568534220485433</v>
      </c>
      <c r="V31">
        <f t="shared" si="6"/>
        <v>-0.53272239049242276</v>
      </c>
    </row>
    <row r="32" spans="1:24" x14ac:dyDescent="0.2">
      <c r="A32" s="19">
        <f t="shared" si="7"/>
        <v>31</v>
      </c>
      <c r="B32" s="20">
        <f t="shared" si="8"/>
        <v>15</v>
      </c>
      <c r="C32" s="21">
        <v>43317</v>
      </c>
      <c r="D32" s="22">
        <v>0.49070601851851853</v>
      </c>
      <c r="E32" s="32">
        <v>-8.2899999999999991</v>
      </c>
      <c r="F32" s="23">
        <v>116.48</v>
      </c>
      <c r="G32" s="24">
        <v>6.9</v>
      </c>
      <c r="H32" s="32">
        <v>17.8</v>
      </c>
      <c r="I32" s="25" t="s">
        <v>20</v>
      </c>
      <c r="J32" s="26" t="s">
        <v>18</v>
      </c>
      <c r="K32">
        <v>283</v>
      </c>
      <c r="L32">
        <v>105.96476647702214</v>
      </c>
      <c r="M32">
        <v>107.44939150376719</v>
      </c>
      <c r="N32">
        <f t="shared" si="0"/>
        <v>0</v>
      </c>
      <c r="O32">
        <f t="shared" si="1"/>
        <v>1</v>
      </c>
      <c r="P32">
        <f t="shared" si="2"/>
        <v>0</v>
      </c>
      <c r="Q32">
        <f t="shared" si="3"/>
        <v>0</v>
      </c>
      <c r="R32">
        <f t="shared" si="4"/>
        <v>1</v>
      </c>
      <c r="S32">
        <v>0</v>
      </c>
      <c r="T32">
        <f t="shared" si="5"/>
        <v>1.8812114567941465</v>
      </c>
      <c r="U32">
        <v>1.0844603343231798</v>
      </c>
      <c r="V32">
        <f t="shared" si="6"/>
        <v>-0.79675112247096669</v>
      </c>
    </row>
    <row r="33" spans="1:22" x14ac:dyDescent="0.2">
      <c r="A33" s="19">
        <f t="shared" si="7"/>
        <v>32</v>
      </c>
      <c r="B33" s="20">
        <f t="shared" si="8"/>
        <v>15</v>
      </c>
      <c r="C33" s="21">
        <v>43317</v>
      </c>
      <c r="D33" s="22">
        <v>0.49070601851851853</v>
      </c>
      <c r="E33" s="32">
        <v>-8.2899999999999991</v>
      </c>
      <c r="F33" s="23">
        <v>116.48</v>
      </c>
      <c r="G33" s="24">
        <v>6.9</v>
      </c>
      <c r="H33" s="32">
        <v>17.8</v>
      </c>
      <c r="I33" s="25" t="s">
        <v>20</v>
      </c>
      <c r="J33" s="26" t="s">
        <v>16</v>
      </c>
      <c r="K33">
        <v>1141</v>
      </c>
      <c r="L33">
        <v>66.881610355374306</v>
      </c>
      <c r="M33">
        <v>69.20975222992864</v>
      </c>
      <c r="N33">
        <f t="shared" si="0"/>
        <v>0</v>
      </c>
      <c r="O33">
        <f t="shared" si="1"/>
        <v>1</v>
      </c>
      <c r="P33">
        <f t="shared" si="2"/>
        <v>0</v>
      </c>
      <c r="Q33">
        <f t="shared" si="3"/>
        <v>0</v>
      </c>
      <c r="R33">
        <f t="shared" si="4"/>
        <v>1</v>
      </c>
      <c r="S33">
        <v>1</v>
      </c>
      <c r="T33">
        <f t="shared" si="5"/>
        <v>1.9584012925538574</v>
      </c>
      <c r="U33">
        <v>1.2093751327753026</v>
      </c>
      <c r="V33">
        <f t="shared" si="6"/>
        <v>-0.7490261597785548</v>
      </c>
    </row>
    <row r="34" spans="1:22" x14ac:dyDescent="0.2">
      <c r="A34">
        <f t="shared" si="7"/>
        <v>33</v>
      </c>
      <c r="B34" s="2">
        <f t="shared" si="8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6">
        <v>4.4000000000000004</v>
      </c>
      <c r="H34" s="5">
        <v>10</v>
      </c>
      <c r="I34" s="7" t="s">
        <v>20</v>
      </c>
      <c r="J34" s="8" t="s">
        <v>18</v>
      </c>
      <c r="K34">
        <v>283</v>
      </c>
      <c r="L34">
        <v>154.91870209025714</v>
      </c>
      <c r="M34">
        <v>155.24111651662983</v>
      </c>
      <c r="N34">
        <f t="shared" ref="N34:N65" si="9">IF(I34="normal",1,0)</f>
        <v>0</v>
      </c>
      <c r="O34">
        <f t="shared" ref="O34:O65" si="10">IF(I34="reverse",1,0)</f>
        <v>1</v>
      </c>
      <c r="P34">
        <f t="shared" si="2"/>
        <v>0</v>
      </c>
      <c r="Q34">
        <f t="shared" si="3"/>
        <v>1</v>
      </c>
      <c r="R34">
        <f t="shared" si="4"/>
        <v>0</v>
      </c>
      <c r="S34">
        <v>1</v>
      </c>
      <c r="T34">
        <f t="shared" si="5"/>
        <v>0.13326916705731628</v>
      </c>
      <c r="U34">
        <v>-0.97705676778420603</v>
      </c>
      <c r="V34">
        <f t="shared" si="6"/>
        <v>-1.1103259348415224</v>
      </c>
    </row>
    <row r="35" spans="1:22" x14ac:dyDescent="0.2">
      <c r="A35">
        <f t="shared" si="7"/>
        <v>34</v>
      </c>
      <c r="B35" s="2">
        <f t="shared" si="8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6">
        <v>5.0999999999999996</v>
      </c>
      <c r="H35" s="5">
        <v>23</v>
      </c>
      <c r="I35" s="7" t="s">
        <v>20</v>
      </c>
      <c r="J35" s="8" t="s">
        <v>18</v>
      </c>
      <c r="K35">
        <v>283</v>
      </c>
      <c r="L35">
        <v>153.83691687865382</v>
      </c>
      <c r="M35">
        <v>155.5467678697627</v>
      </c>
      <c r="N35">
        <f t="shared" si="9"/>
        <v>0</v>
      </c>
      <c r="O35">
        <f t="shared" si="10"/>
        <v>1</v>
      </c>
      <c r="P35">
        <f t="shared" si="2"/>
        <v>0</v>
      </c>
      <c r="Q35">
        <f t="shared" si="3"/>
        <v>1</v>
      </c>
      <c r="R35">
        <f t="shared" si="4"/>
        <v>0</v>
      </c>
      <c r="S35">
        <v>1</v>
      </c>
      <c r="T35">
        <f t="shared" si="5"/>
        <v>0.64104292593194612</v>
      </c>
      <c r="U35">
        <v>-0.12249056974113215</v>
      </c>
      <c r="V35">
        <f t="shared" si="6"/>
        <v>-0.76353349567307827</v>
      </c>
    </row>
    <row r="36" spans="1:22" x14ac:dyDescent="0.2">
      <c r="A36">
        <f t="shared" si="7"/>
        <v>35</v>
      </c>
      <c r="B36" s="2">
        <f t="shared" si="8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6">
        <v>5.0999999999999996</v>
      </c>
      <c r="H36" s="5">
        <v>23</v>
      </c>
      <c r="I36" s="7" t="s">
        <v>20</v>
      </c>
      <c r="J36" s="8" t="s">
        <v>16</v>
      </c>
      <c r="K36">
        <v>1141</v>
      </c>
      <c r="L36">
        <v>101.03942513429189</v>
      </c>
      <c r="M36">
        <v>103.6241546719112</v>
      </c>
      <c r="N36">
        <f t="shared" si="9"/>
        <v>0</v>
      </c>
      <c r="O36">
        <f t="shared" si="10"/>
        <v>1</v>
      </c>
      <c r="P36">
        <f t="shared" si="2"/>
        <v>0</v>
      </c>
      <c r="Q36">
        <f t="shared" si="3"/>
        <v>1</v>
      </c>
      <c r="R36">
        <f t="shared" si="4"/>
        <v>0</v>
      </c>
      <c r="S36">
        <v>1</v>
      </c>
      <c r="T36">
        <f t="shared" si="5"/>
        <v>0.73503326251829559</v>
      </c>
      <c r="U36">
        <v>0.86185791555085023</v>
      </c>
      <c r="V36">
        <f t="shared" si="6"/>
        <v>0.12682465303255464</v>
      </c>
    </row>
    <row r="37" spans="1:22" x14ac:dyDescent="0.2">
      <c r="A37">
        <f t="shared" si="7"/>
        <v>36</v>
      </c>
      <c r="B37" s="2">
        <f t="shared" si="8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6">
        <v>3.9</v>
      </c>
      <c r="H37" s="5">
        <v>10</v>
      </c>
      <c r="I37" s="7" t="s">
        <v>20</v>
      </c>
      <c r="J37" s="8" t="s">
        <v>16</v>
      </c>
      <c r="K37">
        <v>1141</v>
      </c>
      <c r="L37">
        <v>96.076875672391154</v>
      </c>
      <c r="M37">
        <v>96.595890383432504</v>
      </c>
      <c r="N37">
        <f t="shared" si="9"/>
        <v>0</v>
      </c>
      <c r="O37">
        <f t="shared" si="10"/>
        <v>1</v>
      </c>
      <c r="P37">
        <f t="shared" si="2"/>
        <v>0</v>
      </c>
      <c r="Q37">
        <f t="shared" si="3"/>
        <v>1</v>
      </c>
      <c r="R37">
        <f t="shared" si="4"/>
        <v>0</v>
      </c>
      <c r="S37">
        <v>1</v>
      </c>
      <c r="T37">
        <f t="shared" si="5"/>
        <v>-0.10521377665648571</v>
      </c>
      <c r="U37">
        <v>-1.0211313884678899</v>
      </c>
      <c r="V37">
        <f t="shared" si="6"/>
        <v>-0.91591761181140419</v>
      </c>
    </row>
    <row r="38" spans="1:22" x14ac:dyDescent="0.2">
      <c r="A38">
        <f t="shared" si="7"/>
        <v>37</v>
      </c>
      <c r="B38" s="2">
        <f t="shared" si="8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6">
        <v>4.4000000000000004</v>
      </c>
      <c r="H38" s="5">
        <v>11</v>
      </c>
      <c r="I38" s="7" t="s">
        <v>20</v>
      </c>
      <c r="J38" s="8" t="s">
        <v>13</v>
      </c>
      <c r="K38">
        <v>290</v>
      </c>
      <c r="L38">
        <v>254.16745999184849</v>
      </c>
      <c r="M38">
        <v>254.40538067955225</v>
      </c>
      <c r="N38">
        <f t="shared" si="9"/>
        <v>0</v>
      </c>
      <c r="O38">
        <f t="shared" si="10"/>
        <v>1</v>
      </c>
      <c r="P38">
        <f t="shared" si="2"/>
        <v>0</v>
      </c>
      <c r="Q38">
        <f t="shared" si="3"/>
        <v>1</v>
      </c>
      <c r="R38">
        <f t="shared" si="4"/>
        <v>0</v>
      </c>
      <c r="S38">
        <v>1</v>
      </c>
      <c r="T38">
        <f t="shared" si="5"/>
        <v>-0.22006828666088946</v>
      </c>
      <c r="U38">
        <v>-1.0231199725626365</v>
      </c>
      <c r="V38">
        <f t="shared" si="6"/>
        <v>-0.80305168590174714</v>
      </c>
    </row>
    <row r="39" spans="1:22" x14ac:dyDescent="0.2">
      <c r="A39">
        <f t="shared" si="7"/>
        <v>38</v>
      </c>
      <c r="B39" s="2">
        <f t="shared" si="8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6">
        <v>4.4000000000000004</v>
      </c>
      <c r="H39" s="5">
        <v>11</v>
      </c>
      <c r="I39" s="7" t="s">
        <v>20</v>
      </c>
      <c r="J39" s="8" t="s">
        <v>16</v>
      </c>
      <c r="K39">
        <v>1141</v>
      </c>
      <c r="L39">
        <v>104.48053403207783</v>
      </c>
      <c r="M39">
        <v>105.05799346850374</v>
      </c>
      <c r="N39">
        <f t="shared" si="9"/>
        <v>0</v>
      </c>
      <c r="O39">
        <f t="shared" si="10"/>
        <v>1</v>
      </c>
      <c r="P39">
        <f t="shared" si="2"/>
        <v>0</v>
      </c>
      <c r="Q39">
        <f t="shared" si="3"/>
        <v>1</v>
      </c>
      <c r="R39">
        <f t="shared" si="4"/>
        <v>0</v>
      </c>
      <c r="S39">
        <v>1</v>
      </c>
      <c r="T39">
        <f t="shared" si="5"/>
        <v>0.22961557191442886</v>
      </c>
      <c r="U39">
        <v>-2.5224958156923161E-2</v>
      </c>
      <c r="V39">
        <f t="shared" si="6"/>
        <v>-0.25484053007135199</v>
      </c>
    </row>
    <row r="40" spans="1:22" x14ac:dyDescent="0.2">
      <c r="A40">
        <f t="shared" si="7"/>
        <v>39</v>
      </c>
      <c r="B40" s="2">
        <f t="shared" si="8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6">
        <v>3.8</v>
      </c>
      <c r="H40" s="5">
        <v>14</v>
      </c>
      <c r="I40" s="7" t="s">
        <v>20</v>
      </c>
      <c r="J40" s="8" t="s">
        <v>16</v>
      </c>
      <c r="K40">
        <v>1141</v>
      </c>
      <c r="L40">
        <v>91.835397766047166</v>
      </c>
      <c r="M40">
        <v>92.896395424408695</v>
      </c>
      <c r="N40">
        <f t="shared" si="9"/>
        <v>0</v>
      </c>
      <c r="O40">
        <f t="shared" si="10"/>
        <v>1</v>
      </c>
      <c r="P40">
        <f t="shared" si="2"/>
        <v>0</v>
      </c>
      <c r="Q40">
        <f t="shared" si="3"/>
        <v>1</v>
      </c>
      <c r="R40">
        <f t="shared" si="4"/>
        <v>0</v>
      </c>
      <c r="S40">
        <v>1</v>
      </c>
      <c r="T40">
        <f t="shared" si="5"/>
        <v>-0.15966781914252925</v>
      </c>
      <c r="U40">
        <v>-0.90132237571053142</v>
      </c>
      <c r="V40">
        <f t="shared" si="6"/>
        <v>-0.74165455656800217</v>
      </c>
    </row>
    <row r="41" spans="1:22" x14ac:dyDescent="0.2">
      <c r="A41">
        <f t="shared" si="7"/>
        <v>40</v>
      </c>
      <c r="B41" s="2">
        <f t="shared" si="8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6">
        <v>4.5999999999999996</v>
      </c>
      <c r="H41" s="5">
        <v>12</v>
      </c>
      <c r="I41" s="7" t="s">
        <v>20</v>
      </c>
      <c r="J41" s="8" t="s">
        <v>13</v>
      </c>
      <c r="K41">
        <v>290</v>
      </c>
      <c r="L41">
        <v>240.35487107688945</v>
      </c>
      <c r="M41">
        <v>240.65424170454207</v>
      </c>
      <c r="N41">
        <f t="shared" si="9"/>
        <v>0</v>
      </c>
      <c r="O41">
        <f t="shared" si="10"/>
        <v>1</v>
      </c>
      <c r="P41">
        <f t="shared" si="2"/>
        <v>0</v>
      </c>
      <c r="Q41">
        <f t="shared" si="3"/>
        <v>1</v>
      </c>
      <c r="R41">
        <f t="shared" si="4"/>
        <v>0</v>
      </c>
      <c r="S41">
        <v>1</v>
      </c>
      <c r="T41">
        <f t="shared" si="5"/>
        <v>-2.4010166588334297E-2</v>
      </c>
      <c r="U41">
        <v>-0.83756429596247617</v>
      </c>
      <c r="V41">
        <f t="shared" si="6"/>
        <v>-0.81355412937414184</v>
      </c>
    </row>
    <row r="42" spans="1:22" x14ac:dyDescent="0.2">
      <c r="A42">
        <f t="shared" si="7"/>
        <v>41</v>
      </c>
      <c r="B42" s="2">
        <f t="shared" si="8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6">
        <v>4.5999999999999996</v>
      </c>
      <c r="H42" s="5">
        <v>12</v>
      </c>
      <c r="I42" s="7" t="s">
        <v>20</v>
      </c>
      <c r="J42" s="8" t="s">
        <v>18</v>
      </c>
      <c r="K42">
        <v>283</v>
      </c>
      <c r="L42">
        <v>141.11331413559105</v>
      </c>
      <c r="M42">
        <v>141.62262328572368</v>
      </c>
      <c r="N42">
        <f t="shared" si="9"/>
        <v>0</v>
      </c>
      <c r="O42">
        <f t="shared" si="10"/>
        <v>1</v>
      </c>
      <c r="P42">
        <f t="shared" si="2"/>
        <v>0</v>
      </c>
      <c r="Q42">
        <f t="shared" si="3"/>
        <v>1</v>
      </c>
      <c r="R42">
        <f t="shared" si="4"/>
        <v>0</v>
      </c>
      <c r="S42">
        <v>1</v>
      </c>
      <c r="T42">
        <f t="shared" si="5"/>
        <v>0.34929487211507082</v>
      </c>
      <c r="U42">
        <v>-0.70696129629747051</v>
      </c>
      <c r="V42">
        <f t="shared" si="6"/>
        <v>-1.0562561684125413</v>
      </c>
    </row>
    <row r="43" spans="1:22" x14ac:dyDescent="0.2">
      <c r="A43">
        <f t="shared" si="7"/>
        <v>42</v>
      </c>
      <c r="B43" s="2">
        <f t="shared" si="8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6">
        <v>6.1</v>
      </c>
      <c r="H43" s="5">
        <v>12</v>
      </c>
      <c r="I43" s="7" t="s">
        <v>20</v>
      </c>
      <c r="J43" s="8" t="s">
        <v>18</v>
      </c>
      <c r="K43">
        <v>283</v>
      </c>
      <c r="L43">
        <v>133.30300987573361</v>
      </c>
      <c r="M43">
        <v>133.8420428786483</v>
      </c>
      <c r="N43">
        <f t="shared" si="9"/>
        <v>0</v>
      </c>
      <c r="O43">
        <f t="shared" si="10"/>
        <v>1</v>
      </c>
      <c r="P43">
        <f t="shared" si="2"/>
        <v>0</v>
      </c>
      <c r="Q43">
        <f t="shared" si="3"/>
        <v>1</v>
      </c>
      <c r="R43">
        <f t="shared" si="4"/>
        <v>0</v>
      </c>
      <c r="S43">
        <v>1</v>
      </c>
      <c r="T43">
        <f t="shared" si="5"/>
        <v>1.3460657476204201</v>
      </c>
      <c r="U43">
        <v>0.4899884988330665</v>
      </c>
      <c r="V43">
        <f t="shared" si="6"/>
        <v>-0.85607724878735358</v>
      </c>
    </row>
    <row r="44" spans="1:22" x14ac:dyDescent="0.2">
      <c r="A44">
        <f t="shared" si="7"/>
        <v>43</v>
      </c>
      <c r="B44" s="2">
        <f t="shared" si="8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6">
        <v>6.1</v>
      </c>
      <c r="H44" s="5">
        <v>12</v>
      </c>
      <c r="I44" s="7" t="s">
        <v>20</v>
      </c>
      <c r="J44" s="8" t="s">
        <v>16</v>
      </c>
      <c r="K44">
        <v>1141</v>
      </c>
      <c r="L44">
        <v>84.698985891143934</v>
      </c>
      <c r="M44">
        <v>85.544831585480367</v>
      </c>
      <c r="N44">
        <f t="shared" si="9"/>
        <v>0</v>
      </c>
      <c r="O44">
        <f t="shared" si="10"/>
        <v>1</v>
      </c>
      <c r="P44">
        <f t="shared" si="2"/>
        <v>0</v>
      </c>
      <c r="Q44">
        <f t="shared" si="3"/>
        <v>1</v>
      </c>
      <c r="R44">
        <f t="shared" si="4"/>
        <v>0</v>
      </c>
      <c r="S44">
        <v>1</v>
      </c>
      <c r="T44">
        <f t="shared" si="5"/>
        <v>1.4457278393669879</v>
      </c>
      <c r="U44">
        <v>1.0456678002803397</v>
      </c>
      <c r="V44">
        <f t="shared" si="6"/>
        <v>-0.40006003908664822</v>
      </c>
    </row>
    <row r="45" spans="1:22" x14ac:dyDescent="0.2">
      <c r="A45">
        <f t="shared" si="7"/>
        <v>44</v>
      </c>
      <c r="B45" s="2">
        <f t="shared" si="8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6">
        <v>4.8</v>
      </c>
      <c r="H45" s="5">
        <v>10</v>
      </c>
      <c r="I45" s="7" t="s">
        <v>20</v>
      </c>
      <c r="J45" s="8" t="s">
        <v>13</v>
      </c>
      <c r="K45">
        <v>290</v>
      </c>
      <c r="L45">
        <v>209.11492183048009</v>
      </c>
      <c r="M45">
        <v>209.3538882661791</v>
      </c>
      <c r="N45">
        <f t="shared" si="9"/>
        <v>0</v>
      </c>
      <c r="O45">
        <f t="shared" si="10"/>
        <v>1</v>
      </c>
      <c r="P45">
        <f t="shared" si="2"/>
        <v>0</v>
      </c>
      <c r="Q45">
        <f t="shared" si="3"/>
        <v>1</v>
      </c>
      <c r="R45">
        <f t="shared" si="4"/>
        <v>0</v>
      </c>
      <c r="S45">
        <v>1</v>
      </c>
      <c r="T45">
        <f t="shared" si="5"/>
        <v>0.22343877816304727</v>
      </c>
      <c r="U45">
        <v>-0.87454161476328252</v>
      </c>
      <c r="V45">
        <f t="shared" si="6"/>
        <v>-1.0979803929263299</v>
      </c>
    </row>
    <row r="46" spans="1:22" x14ac:dyDescent="0.2">
      <c r="A46">
        <f t="shared" si="7"/>
        <v>45</v>
      </c>
      <c r="B46" s="2">
        <f t="shared" si="8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6">
        <v>4</v>
      </c>
      <c r="H46" s="5">
        <v>10</v>
      </c>
      <c r="I46" s="7" t="s">
        <v>20</v>
      </c>
      <c r="J46" s="8" t="s">
        <v>12</v>
      </c>
      <c r="K46">
        <v>386</v>
      </c>
      <c r="L46">
        <v>266.53643214013192</v>
      </c>
      <c r="M46">
        <v>266.72395778780572</v>
      </c>
      <c r="N46">
        <f t="shared" si="9"/>
        <v>0</v>
      </c>
      <c r="O46">
        <f t="shared" si="10"/>
        <v>1</v>
      </c>
      <c r="P46">
        <f t="shared" si="2"/>
        <v>0</v>
      </c>
      <c r="Q46">
        <f t="shared" si="3"/>
        <v>1</v>
      </c>
      <c r="R46">
        <f t="shared" si="4"/>
        <v>0</v>
      </c>
      <c r="S46">
        <v>1</v>
      </c>
      <c r="T46">
        <f t="shared" si="5"/>
        <v>-0.62140835283428708</v>
      </c>
      <c r="U46">
        <v>-0.54296408164028487</v>
      </c>
      <c r="V46">
        <f t="shared" si="6"/>
        <v>7.8444271194002213E-2</v>
      </c>
    </row>
    <row r="47" spans="1:22" x14ac:dyDescent="0.2">
      <c r="A47">
        <f t="shared" si="7"/>
        <v>46</v>
      </c>
      <c r="B47" s="2">
        <f t="shared" si="8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6">
        <v>4</v>
      </c>
      <c r="H47" s="5">
        <v>10</v>
      </c>
      <c r="I47" s="7" t="s">
        <v>20</v>
      </c>
      <c r="J47" s="8" t="s">
        <v>18</v>
      </c>
      <c r="K47">
        <v>283</v>
      </c>
      <c r="L47">
        <v>125.86472859435281</v>
      </c>
      <c r="M47">
        <v>126.261355545274</v>
      </c>
      <c r="N47">
        <f t="shared" si="9"/>
        <v>0</v>
      </c>
      <c r="O47">
        <f t="shared" si="10"/>
        <v>1</v>
      </c>
      <c r="P47">
        <f t="shared" si="2"/>
        <v>0</v>
      </c>
      <c r="Q47">
        <f t="shared" si="3"/>
        <v>1</v>
      </c>
      <c r="R47">
        <f t="shared" si="4"/>
        <v>0</v>
      </c>
      <c r="S47">
        <v>1</v>
      </c>
      <c r="T47">
        <f t="shared" si="5"/>
        <v>-3.8581373044875578E-2</v>
      </c>
      <c r="U47">
        <v>-0.83885300740638147</v>
      </c>
      <c r="V47">
        <f t="shared" si="6"/>
        <v>-0.80027163436150595</v>
      </c>
    </row>
    <row r="48" spans="1:22" x14ac:dyDescent="0.2">
      <c r="A48">
        <f t="shared" si="7"/>
        <v>47</v>
      </c>
      <c r="B48" s="2">
        <f t="shared" si="8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6">
        <v>4</v>
      </c>
      <c r="H48" s="5">
        <v>10</v>
      </c>
      <c r="I48" s="7" t="s">
        <v>20</v>
      </c>
      <c r="J48" s="8" t="s">
        <v>16</v>
      </c>
      <c r="K48">
        <v>1141</v>
      </c>
      <c r="L48">
        <v>87.215807594313191</v>
      </c>
      <c r="M48">
        <v>87.787226259452225</v>
      </c>
      <c r="N48">
        <f t="shared" si="9"/>
        <v>0</v>
      </c>
      <c r="O48">
        <f t="shared" si="10"/>
        <v>1</v>
      </c>
      <c r="P48">
        <f t="shared" si="2"/>
        <v>0</v>
      </c>
      <c r="Q48">
        <f t="shared" si="3"/>
        <v>1</v>
      </c>
      <c r="R48">
        <f t="shared" si="4"/>
        <v>0</v>
      </c>
      <c r="S48">
        <v>1</v>
      </c>
      <c r="T48">
        <f t="shared" si="5"/>
        <v>4.4657182777726651E-2</v>
      </c>
      <c r="U48">
        <v>-0.14350633502010676</v>
      </c>
      <c r="V48">
        <f t="shared" si="6"/>
        <v>-0.18816351779783341</v>
      </c>
    </row>
    <row r="49" spans="1:22" x14ac:dyDescent="0.2">
      <c r="A49">
        <f t="shared" si="7"/>
        <v>48</v>
      </c>
      <c r="B49" s="2">
        <f t="shared" si="8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6">
        <v>4.5</v>
      </c>
      <c r="H49" s="5">
        <v>10</v>
      </c>
      <c r="I49" s="7" t="s">
        <v>20</v>
      </c>
      <c r="J49" s="8" t="s">
        <v>16</v>
      </c>
      <c r="K49">
        <v>1141</v>
      </c>
      <c r="L49">
        <v>91.933864428229342</v>
      </c>
      <c r="M49">
        <v>92.47613437372938</v>
      </c>
      <c r="N49">
        <f t="shared" si="9"/>
        <v>0</v>
      </c>
      <c r="O49">
        <f t="shared" si="10"/>
        <v>1</v>
      </c>
      <c r="P49">
        <f t="shared" si="2"/>
        <v>0</v>
      </c>
      <c r="Q49">
        <f t="shared" si="3"/>
        <v>1</v>
      </c>
      <c r="R49">
        <f t="shared" si="4"/>
        <v>0</v>
      </c>
      <c r="S49">
        <v>1</v>
      </c>
      <c r="T49">
        <f t="shared" si="5"/>
        <v>0.39304012684363659</v>
      </c>
      <c r="U49">
        <v>5.0506460254144424E-2</v>
      </c>
      <c r="V49">
        <f t="shared" si="6"/>
        <v>-0.34253366658949219</v>
      </c>
    </row>
    <row r="50" spans="1:22" x14ac:dyDescent="0.2">
      <c r="A50">
        <f t="shared" si="7"/>
        <v>49</v>
      </c>
      <c r="B50" s="2">
        <f t="shared" si="8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6">
        <v>4.5999999999999996</v>
      </c>
      <c r="H50" s="5">
        <v>10</v>
      </c>
      <c r="I50" s="7" t="s">
        <v>20</v>
      </c>
      <c r="J50" s="8" t="s">
        <v>13</v>
      </c>
      <c r="K50">
        <v>290</v>
      </c>
      <c r="L50">
        <v>192.58708677294078</v>
      </c>
      <c r="M50">
        <v>192.84653481898042</v>
      </c>
      <c r="N50">
        <f t="shared" si="9"/>
        <v>0</v>
      </c>
      <c r="O50">
        <f t="shared" si="10"/>
        <v>1</v>
      </c>
      <c r="P50">
        <f t="shared" si="2"/>
        <v>0</v>
      </c>
      <c r="Q50">
        <f t="shared" si="3"/>
        <v>1</v>
      </c>
      <c r="R50">
        <f t="shared" si="4"/>
        <v>0</v>
      </c>
      <c r="S50">
        <v>0</v>
      </c>
      <c r="T50">
        <f t="shared" si="5"/>
        <v>0.13127509087280056</v>
      </c>
      <c r="U50">
        <v>-0.64137954407961584</v>
      </c>
      <c r="V50">
        <f t="shared" si="6"/>
        <v>-0.77265463495241637</v>
      </c>
    </row>
    <row r="51" spans="1:22" x14ac:dyDescent="0.2">
      <c r="A51">
        <f t="shared" si="7"/>
        <v>50</v>
      </c>
      <c r="B51" s="2">
        <f t="shared" si="8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6">
        <v>4.5999999999999996</v>
      </c>
      <c r="H51" s="5">
        <v>10</v>
      </c>
      <c r="I51" s="7" t="s">
        <v>20</v>
      </c>
      <c r="J51" s="8" t="s">
        <v>18</v>
      </c>
      <c r="K51">
        <v>283</v>
      </c>
      <c r="L51">
        <v>94.763350515534441</v>
      </c>
      <c r="M51">
        <v>95.289519890332343</v>
      </c>
      <c r="N51">
        <f t="shared" si="9"/>
        <v>0</v>
      </c>
      <c r="O51">
        <f t="shared" si="10"/>
        <v>1</v>
      </c>
      <c r="P51">
        <f t="shared" si="2"/>
        <v>0</v>
      </c>
      <c r="Q51">
        <f t="shared" si="3"/>
        <v>1</v>
      </c>
      <c r="R51">
        <f t="shared" si="4"/>
        <v>0</v>
      </c>
      <c r="S51">
        <v>0</v>
      </c>
      <c r="T51">
        <f t="shared" si="5"/>
        <v>0.62300826781542518</v>
      </c>
      <c r="U51">
        <v>-0.40538627343802164</v>
      </c>
      <c r="V51">
        <f t="shared" si="6"/>
        <v>-1.0283945412534468</v>
      </c>
    </row>
    <row r="52" spans="1:22" x14ac:dyDescent="0.2">
      <c r="A52">
        <f t="shared" si="7"/>
        <v>51</v>
      </c>
      <c r="B52" s="2">
        <f t="shared" si="8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6">
        <v>4.5999999999999996</v>
      </c>
      <c r="H52" s="5">
        <v>10</v>
      </c>
      <c r="I52" s="7" t="s">
        <v>20</v>
      </c>
      <c r="J52" s="8" t="s">
        <v>16</v>
      </c>
      <c r="K52">
        <v>1141</v>
      </c>
      <c r="L52">
        <v>64.561395361687786</v>
      </c>
      <c r="M52">
        <v>65.331261820419186</v>
      </c>
      <c r="N52">
        <f t="shared" si="9"/>
        <v>0</v>
      </c>
      <c r="O52">
        <f t="shared" si="10"/>
        <v>1</v>
      </c>
      <c r="P52">
        <f t="shared" si="2"/>
        <v>0</v>
      </c>
      <c r="Q52">
        <f t="shared" si="3"/>
        <v>1</v>
      </c>
      <c r="R52">
        <f t="shared" si="4"/>
        <v>0</v>
      </c>
      <c r="S52">
        <v>0</v>
      </c>
      <c r="T52">
        <f t="shared" si="5"/>
        <v>0.70428487763161085</v>
      </c>
      <c r="U52">
        <v>0.2807826343550458</v>
      </c>
      <c r="V52">
        <f t="shared" si="6"/>
        <v>-0.42350224327656505</v>
      </c>
    </row>
    <row r="53" spans="1:22" x14ac:dyDescent="0.2">
      <c r="A53">
        <f t="shared" si="7"/>
        <v>52</v>
      </c>
      <c r="B53" s="2">
        <f t="shared" si="8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6">
        <v>4.3</v>
      </c>
      <c r="H53" s="5">
        <v>10</v>
      </c>
      <c r="I53" s="7" t="s">
        <v>20</v>
      </c>
      <c r="J53" s="8" t="s">
        <v>18</v>
      </c>
      <c r="K53">
        <v>283</v>
      </c>
      <c r="L53">
        <v>98.832364451782198</v>
      </c>
      <c r="M53">
        <v>99.336983360327082</v>
      </c>
      <c r="N53">
        <f t="shared" si="9"/>
        <v>0</v>
      </c>
      <c r="O53">
        <f t="shared" si="10"/>
        <v>1</v>
      </c>
      <c r="P53">
        <f t="shared" si="2"/>
        <v>0</v>
      </c>
      <c r="Q53">
        <f t="shared" si="3"/>
        <v>1</v>
      </c>
      <c r="R53">
        <f t="shared" si="4"/>
        <v>0</v>
      </c>
      <c r="S53">
        <v>0</v>
      </c>
      <c r="T53">
        <f t="shared" si="5"/>
        <v>0.37018683078436193</v>
      </c>
      <c r="U53">
        <v>-0.6472940074405189</v>
      </c>
      <c r="V53">
        <f t="shared" si="6"/>
        <v>-1.0174808382248808</v>
      </c>
    </row>
    <row r="54" spans="1:22" x14ac:dyDescent="0.2">
      <c r="A54">
        <f t="shared" si="7"/>
        <v>53</v>
      </c>
      <c r="B54" s="2">
        <f t="shared" si="8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6">
        <v>5.3</v>
      </c>
      <c r="H54" s="5">
        <v>10</v>
      </c>
      <c r="I54" s="7" t="s">
        <v>20</v>
      </c>
      <c r="J54" s="8" t="s">
        <v>18</v>
      </c>
      <c r="K54">
        <v>283</v>
      </c>
      <c r="L54">
        <v>90.807039760856895</v>
      </c>
      <c r="M54">
        <v>91.355998544867575</v>
      </c>
      <c r="N54">
        <f t="shared" si="9"/>
        <v>0</v>
      </c>
      <c r="O54">
        <f t="shared" si="10"/>
        <v>1</v>
      </c>
      <c r="P54">
        <f t="shared" si="2"/>
        <v>0</v>
      </c>
      <c r="Q54">
        <f t="shared" si="3"/>
        <v>1</v>
      </c>
      <c r="R54">
        <f t="shared" si="4"/>
        <v>0</v>
      </c>
      <c r="S54">
        <v>0</v>
      </c>
      <c r="T54">
        <f t="shared" si="5"/>
        <v>1.1245744672366751</v>
      </c>
      <c r="U54">
        <v>0.80295285856477328</v>
      </c>
      <c r="V54">
        <f t="shared" si="6"/>
        <v>-0.32162160867190182</v>
      </c>
    </row>
    <row r="55" spans="1:22" x14ac:dyDescent="0.2">
      <c r="A55">
        <f t="shared" si="7"/>
        <v>54</v>
      </c>
      <c r="B55" s="2">
        <f t="shared" si="8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6">
        <v>5.3</v>
      </c>
      <c r="H55" s="5">
        <v>10</v>
      </c>
      <c r="I55" s="7" t="s">
        <v>20</v>
      </c>
      <c r="J55" s="8" t="s">
        <v>16</v>
      </c>
      <c r="K55">
        <v>1141</v>
      </c>
      <c r="L55">
        <v>57.669099196433656</v>
      </c>
      <c r="M55">
        <v>58.529693337041373</v>
      </c>
      <c r="N55">
        <f t="shared" si="9"/>
        <v>0</v>
      </c>
      <c r="O55">
        <f t="shared" si="10"/>
        <v>1</v>
      </c>
      <c r="P55">
        <f t="shared" si="2"/>
        <v>0</v>
      </c>
      <c r="Q55">
        <f t="shared" si="3"/>
        <v>1</v>
      </c>
      <c r="R55">
        <f t="shared" si="4"/>
        <v>0</v>
      </c>
      <c r="S55">
        <v>0</v>
      </c>
      <c r="T55">
        <f t="shared" si="5"/>
        <v>1.2373053493841009</v>
      </c>
      <c r="U55">
        <v>1.4494144186119329</v>
      </c>
      <c r="V55">
        <f t="shared" si="6"/>
        <v>0.21210906922783201</v>
      </c>
    </row>
    <row r="56" spans="1:22" x14ac:dyDescent="0.2">
      <c r="A56">
        <f t="shared" si="7"/>
        <v>55</v>
      </c>
      <c r="B56" s="2">
        <f t="shared" si="8"/>
        <v>29</v>
      </c>
      <c r="C56" s="33">
        <v>43331</v>
      </c>
      <c r="D56" s="4">
        <v>0.17386574074043892</v>
      </c>
      <c r="E56" s="5">
        <v>-8.24</v>
      </c>
      <c r="F56" s="5">
        <v>116.66</v>
      </c>
      <c r="G56" s="6">
        <v>6.3</v>
      </c>
      <c r="H56" s="5">
        <v>10</v>
      </c>
      <c r="I56" s="2" t="s">
        <v>20</v>
      </c>
      <c r="J56" s="8" t="s">
        <v>15</v>
      </c>
      <c r="K56">
        <v>770</v>
      </c>
      <c r="L56">
        <v>72.173831697702084</v>
      </c>
      <c r="M56">
        <v>72.863310259198542</v>
      </c>
      <c r="N56">
        <f t="shared" si="9"/>
        <v>0</v>
      </c>
      <c r="O56">
        <f t="shared" si="10"/>
        <v>1</v>
      </c>
      <c r="P56">
        <f t="shared" si="2"/>
        <v>0</v>
      </c>
      <c r="Q56">
        <f t="shared" si="3"/>
        <v>1</v>
      </c>
      <c r="R56">
        <f t="shared" si="4"/>
        <v>0</v>
      </c>
      <c r="S56">
        <v>1</v>
      </c>
      <c r="T56">
        <f t="shared" si="5"/>
        <v>1.6933485483038284</v>
      </c>
      <c r="U56">
        <v>0.69891231014608302</v>
      </c>
      <c r="V56">
        <f t="shared" si="6"/>
        <v>-0.9944362381577454</v>
      </c>
    </row>
    <row r="57" spans="1:22" x14ac:dyDescent="0.2">
      <c r="A57">
        <f t="shared" si="7"/>
        <v>56</v>
      </c>
      <c r="B57" s="2">
        <f t="shared" si="8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6">
        <v>6.3</v>
      </c>
      <c r="H57" s="5">
        <v>10</v>
      </c>
      <c r="I57" s="7" t="s">
        <v>20</v>
      </c>
      <c r="J57" s="8" t="s">
        <v>18</v>
      </c>
      <c r="K57">
        <v>283</v>
      </c>
      <c r="L57">
        <v>88.078759906858352</v>
      </c>
      <c r="M57">
        <v>88.644616005316408</v>
      </c>
      <c r="N57">
        <f t="shared" si="9"/>
        <v>0</v>
      </c>
      <c r="O57">
        <f t="shared" si="10"/>
        <v>1</v>
      </c>
      <c r="P57">
        <f t="shared" si="2"/>
        <v>0</v>
      </c>
      <c r="Q57">
        <f t="shared" si="3"/>
        <v>1</v>
      </c>
      <c r="R57">
        <f t="shared" si="4"/>
        <v>0</v>
      </c>
      <c r="S57">
        <v>0</v>
      </c>
      <c r="T57">
        <f t="shared" si="5"/>
        <v>1.7019407016254733</v>
      </c>
      <c r="U57">
        <v>0.83543831358366105</v>
      </c>
      <c r="V57">
        <f t="shared" si="6"/>
        <v>-0.86650238804181223</v>
      </c>
    </row>
    <row r="58" spans="1:22" x14ac:dyDescent="0.2">
      <c r="A58">
        <f t="shared" si="7"/>
        <v>57</v>
      </c>
      <c r="B58" s="2">
        <f t="shared" si="8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6">
        <v>6.3</v>
      </c>
      <c r="H58" s="5">
        <v>10</v>
      </c>
      <c r="I58" s="7" t="s">
        <v>20</v>
      </c>
      <c r="J58" s="8" t="s">
        <v>16</v>
      </c>
      <c r="K58">
        <v>1141</v>
      </c>
      <c r="L58">
        <v>60.586448333172122</v>
      </c>
      <c r="M58">
        <v>61.406170061551101</v>
      </c>
      <c r="N58">
        <f t="shared" si="9"/>
        <v>0</v>
      </c>
      <c r="O58">
        <f t="shared" si="10"/>
        <v>1</v>
      </c>
      <c r="P58">
        <f t="shared" si="2"/>
        <v>0</v>
      </c>
      <c r="Q58">
        <f t="shared" si="3"/>
        <v>1</v>
      </c>
      <c r="R58">
        <f t="shared" si="4"/>
        <v>0</v>
      </c>
      <c r="S58">
        <v>0</v>
      </c>
      <c r="T58">
        <f t="shared" si="5"/>
        <v>1.7466143950701369</v>
      </c>
      <c r="U58">
        <v>1.7002000872878731</v>
      </c>
      <c r="V58">
        <f t="shared" si="6"/>
        <v>-4.6414307782263853E-2</v>
      </c>
    </row>
    <row r="59" spans="1:22" x14ac:dyDescent="0.2">
      <c r="A59">
        <f t="shared" si="7"/>
        <v>58</v>
      </c>
      <c r="B59" s="2">
        <f t="shared" si="8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6">
        <v>5</v>
      </c>
      <c r="H59" s="5">
        <v>10</v>
      </c>
      <c r="I59" s="7" t="s">
        <v>20</v>
      </c>
      <c r="J59" s="8" t="s">
        <v>18</v>
      </c>
      <c r="K59">
        <v>283</v>
      </c>
      <c r="L59">
        <v>57.516438882548499</v>
      </c>
      <c r="M59">
        <v>58.379283497915054</v>
      </c>
      <c r="N59">
        <f t="shared" si="9"/>
        <v>0</v>
      </c>
      <c r="O59">
        <f t="shared" si="10"/>
        <v>1</v>
      </c>
      <c r="P59">
        <f t="shared" si="2"/>
        <v>0</v>
      </c>
      <c r="Q59">
        <f t="shared" si="3"/>
        <v>1</v>
      </c>
      <c r="R59">
        <f t="shared" si="4"/>
        <v>0</v>
      </c>
      <c r="S59">
        <v>0</v>
      </c>
      <c r="T59">
        <f t="shared" si="5"/>
        <v>1.2284805545409196</v>
      </c>
      <c r="U59">
        <v>-2.6254749122952455E-2</v>
      </c>
      <c r="V59">
        <f t="shared" si="6"/>
        <v>-1.2547353036638722</v>
      </c>
    </row>
    <row r="60" spans="1:22" x14ac:dyDescent="0.2">
      <c r="A60">
        <f t="shared" si="7"/>
        <v>59</v>
      </c>
      <c r="B60" s="2">
        <f t="shared" si="8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6">
        <v>4.8</v>
      </c>
      <c r="H60" s="5">
        <v>10</v>
      </c>
      <c r="I60" s="7" t="s">
        <v>20</v>
      </c>
      <c r="J60" s="8" t="s">
        <v>12</v>
      </c>
      <c r="K60">
        <v>386</v>
      </c>
      <c r="L60">
        <v>235.11317602344423</v>
      </c>
      <c r="M60">
        <v>235.32574347026096</v>
      </c>
      <c r="N60">
        <f t="shared" si="9"/>
        <v>0</v>
      </c>
      <c r="O60">
        <f t="shared" si="10"/>
        <v>1</v>
      </c>
      <c r="P60">
        <f t="shared" si="2"/>
        <v>0</v>
      </c>
      <c r="Q60">
        <f t="shared" si="3"/>
        <v>1</v>
      </c>
      <c r="R60">
        <f t="shared" si="4"/>
        <v>0</v>
      </c>
      <c r="S60">
        <v>0</v>
      </c>
      <c r="T60">
        <f t="shared" si="5"/>
        <v>0.10604945699170797</v>
      </c>
      <c r="U60">
        <v>-8.6010974087537301E-2</v>
      </c>
      <c r="V60">
        <f t="shared" si="6"/>
        <v>-0.19206043107924525</v>
      </c>
    </row>
    <row r="61" spans="1:22" x14ac:dyDescent="0.2">
      <c r="A61">
        <f t="shared" si="7"/>
        <v>60</v>
      </c>
      <c r="B61" s="2">
        <f t="shared" si="8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6">
        <v>4.5</v>
      </c>
      <c r="H61" s="5">
        <v>10</v>
      </c>
      <c r="I61" s="7" t="s">
        <v>20</v>
      </c>
      <c r="J61" s="8" t="s">
        <v>18</v>
      </c>
      <c r="K61">
        <v>283</v>
      </c>
      <c r="L61">
        <v>97.287891794045379</v>
      </c>
      <c r="M61">
        <v>97.800480007666025</v>
      </c>
      <c r="N61">
        <f t="shared" si="9"/>
        <v>0</v>
      </c>
      <c r="O61">
        <f t="shared" si="10"/>
        <v>1</v>
      </c>
      <c r="P61">
        <f t="shared" si="2"/>
        <v>0</v>
      </c>
      <c r="Q61">
        <f t="shared" si="3"/>
        <v>1</v>
      </c>
      <c r="R61">
        <f t="shared" si="4"/>
        <v>0</v>
      </c>
      <c r="S61">
        <v>0</v>
      </c>
      <c r="T61">
        <f t="shared" si="5"/>
        <v>0.53181561245264819</v>
      </c>
      <c r="U61">
        <v>-0.21652643974390995</v>
      </c>
      <c r="V61">
        <f t="shared" si="6"/>
        <v>-0.74834205219655814</v>
      </c>
    </row>
    <row r="62" spans="1:22" x14ac:dyDescent="0.2">
      <c r="A62">
        <f t="shared" si="7"/>
        <v>61</v>
      </c>
      <c r="B62" s="2">
        <f t="shared" si="8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6">
        <v>4.7</v>
      </c>
      <c r="H62" s="5">
        <v>10</v>
      </c>
      <c r="I62" s="7" t="s">
        <v>20</v>
      </c>
      <c r="J62" s="8" t="s">
        <v>12</v>
      </c>
      <c r="K62">
        <v>386</v>
      </c>
      <c r="L62">
        <v>246.0405833277724</v>
      </c>
      <c r="M62">
        <v>246.243717979303</v>
      </c>
      <c r="N62">
        <f t="shared" si="9"/>
        <v>0</v>
      </c>
      <c r="O62">
        <f t="shared" si="10"/>
        <v>1</v>
      </c>
      <c r="P62">
        <f t="shared" si="2"/>
        <v>0</v>
      </c>
      <c r="Q62">
        <f t="shared" si="3"/>
        <v>1</v>
      </c>
      <c r="R62">
        <f t="shared" si="4"/>
        <v>0</v>
      </c>
      <c r="S62">
        <v>1</v>
      </c>
      <c r="T62">
        <f t="shared" si="5"/>
        <v>-3.298132992298336E-4</v>
      </c>
      <c r="U62">
        <v>-0.49325233028365884</v>
      </c>
      <c r="V62">
        <f t="shared" si="6"/>
        <v>-0.49292251698442902</v>
      </c>
    </row>
    <row r="63" spans="1:22" x14ac:dyDescent="0.2">
      <c r="A63">
        <f t="shared" si="7"/>
        <v>62</v>
      </c>
      <c r="B63" s="2">
        <f t="shared" si="8"/>
        <v>33</v>
      </c>
      <c r="C63" s="27">
        <v>43331</v>
      </c>
      <c r="D63" s="28">
        <v>0.97910879629629621</v>
      </c>
      <c r="E63" s="29">
        <v>-8.17</v>
      </c>
      <c r="F63" s="29">
        <v>116.51</v>
      </c>
      <c r="G63" s="6">
        <v>4.7</v>
      </c>
      <c r="H63" s="5">
        <v>10</v>
      </c>
      <c r="I63" s="2" t="s">
        <v>20</v>
      </c>
      <c r="J63" s="8" t="s">
        <v>15</v>
      </c>
      <c r="K63">
        <v>770</v>
      </c>
      <c r="L63">
        <v>71.029525733797968</v>
      </c>
      <c r="M63">
        <v>71.730004363364344</v>
      </c>
      <c r="N63">
        <f t="shared" si="9"/>
        <v>0</v>
      </c>
      <c r="O63">
        <f t="shared" si="10"/>
        <v>1</v>
      </c>
      <c r="P63">
        <f t="shared" si="2"/>
        <v>0</v>
      </c>
      <c r="Q63">
        <f t="shared" si="3"/>
        <v>1</v>
      </c>
      <c r="R63">
        <f t="shared" si="4"/>
        <v>0</v>
      </c>
      <c r="S63">
        <v>1</v>
      </c>
      <c r="T63">
        <f t="shared" si="5"/>
        <v>0.76093742116548446</v>
      </c>
      <c r="U63">
        <v>-0.36718865835330522</v>
      </c>
      <c r="V63">
        <f t="shared" si="6"/>
        <v>-1.1281260795187897</v>
      </c>
    </row>
    <row r="64" spans="1:22" x14ac:dyDescent="0.2">
      <c r="A64">
        <f t="shared" si="7"/>
        <v>63</v>
      </c>
      <c r="B64" s="2">
        <f t="shared" si="8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6">
        <v>4.7</v>
      </c>
      <c r="H64" s="5">
        <v>10</v>
      </c>
      <c r="I64" s="7" t="s">
        <v>20</v>
      </c>
      <c r="J64" s="8" t="s">
        <v>16</v>
      </c>
      <c r="K64">
        <v>1141</v>
      </c>
      <c r="L64">
        <v>75.443494535765566</v>
      </c>
      <c r="M64">
        <v>76.103356481617084</v>
      </c>
      <c r="N64">
        <f t="shared" si="9"/>
        <v>0</v>
      </c>
      <c r="O64">
        <f t="shared" si="10"/>
        <v>1</v>
      </c>
      <c r="P64">
        <f t="shared" si="2"/>
        <v>0</v>
      </c>
      <c r="Q64">
        <f t="shared" si="3"/>
        <v>1</v>
      </c>
      <c r="R64">
        <f t="shared" si="4"/>
        <v>0</v>
      </c>
      <c r="S64">
        <v>1</v>
      </c>
      <c r="T64">
        <f t="shared" si="5"/>
        <v>0.67059429660368108</v>
      </c>
      <c r="U64">
        <v>9.325252676319043E-2</v>
      </c>
      <c r="V64">
        <f t="shared" si="6"/>
        <v>-0.57734176984049068</v>
      </c>
    </row>
    <row r="65" spans="1:22" x14ac:dyDescent="0.2">
      <c r="A65">
        <f t="shared" si="7"/>
        <v>64</v>
      </c>
      <c r="B65" s="2">
        <f t="shared" si="8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6">
        <v>5.0999999999999996</v>
      </c>
      <c r="H65" s="5">
        <v>10</v>
      </c>
      <c r="I65" s="7" t="s">
        <v>20</v>
      </c>
      <c r="J65" s="8" t="s">
        <v>13</v>
      </c>
      <c r="K65">
        <v>290</v>
      </c>
      <c r="L65">
        <v>177.63849874835083</v>
      </c>
      <c r="M65">
        <v>177.91974662068245</v>
      </c>
      <c r="N65">
        <f t="shared" si="9"/>
        <v>0</v>
      </c>
      <c r="O65">
        <f t="shared" si="10"/>
        <v>1</v>
      </c>
      <c r="P65">
        <f t="shared" si="2"/>
        <v>0</v>
      </c>
      <c r="Q65">
        <f t="shared" si="3"/>
        <v>1</v>
      </c>
      <c r="R65">
        <f t="shared" si="4"/>
        <v>0</v>
      </c>
      <c r="S65">
        <v>0</v>
      </c>
      <c r="T65">
        <f t="shared" si="5"/>
        <v>0.54753009810837572</v>
      </c>
      <c r="U65">
        <v>0.13715380536592706</v>
      </c>
      <c r="V65">
        <f t="shared" si="6"/>
        <v>-0.41037629274244869</v>
      </c>
    </row>
    <row r="66" spans="1:22" x14ac:dyDescent="0.2">
      <c r="A66">
        <f t="shared" si="7"/>
        <v>65</v>
      </c>
      <c r="B66" s="2">
        <f t="shared" si="8"/>
        <v>34</v>
      </c>
      <c r="C66" s="27">
        <v>43332</v>
      </c>
      <c r="D66" s="28">
        <v>6.2870370370370368E-2</v>
      </c>
      <c r="E66" s="29">
        <v>-8.27</v>
      </c>
      <c r="F66" s="29">
        <v>116.73</v>
      </c>
      <c r="G66" s="6">
        <v>5.0999999999999996</v>
      </c>
      <c r="H66" s="29">
        <v>10</v>
      </c>
      <c r="I66" s="2" t="s">
        <v>20</v>
      </c>
      <c r="J66" s="8" t="s">
        <v>15</v>
      </c>
      <c r="K66">
        <v>770</v>
      </c>
      <c r="L66">
        <v>74.49554657433103</v>
      </c>
      <c r="M66">
        <v>75.163731010430311</v>
      </c>
      <c r="N66">
        <f t="shared" ref="N66:N97" si="11">IF(I66="normal",1,0)</f>
        <v>0</v>
      </c>
      <c r="O66">
        <f t="shared" ref="O66:O97" si="12">IF(I66="reverse",1,0)</f>
        <v>1</v>
      </c>
      <c r="P66">
        <f t="shared" si="2"/>
        <v>0</v>
      </c>
      <c r="Q66">
        <f t="shared" si="3"/>
        <v>1</v>
      </c>
      <c r="R66">
        <f t="shared" si="4"/>
        <v>0</v>
      </c>
      <c r="S66">
        <v>1</v>
      </c>
      <c r="T66">
        <f t="shared" si="5"/>
        <v>0.99824752574441966</v>
      </c>
      <c r="U66">
        <v>-0.36463443245469362</v>
      </c>
      <c r="V66">
        <f t="shared" si="6"/>
        <v>-1.3628819581991132</v>
      </c>
    </row>
    <row r="67" spans="1:22" x14ac:dyDescent="0.2">
      <c r="A67">
        <f t="shared" si="7"/>
        <v>66</v>
      </c>
      <c r="B67" s="2">
        <f t="shared" si="8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6">
        <v>5.0999999999999996</v>
      </c>
      <c r="H67" s="5">
        <v>10</v>
      </c>
      <c r="I67" s="7" t="s">
        <v>20</v>
      </c>
      <c r="J67" s="8" t="s">
        <v>18</v>
      </c>
      <c r="K67">
        <v>283</v>
      </c>
      <c r="L67">
        <v>79.652811637316844</v>
      </c>
      <c r="M67">
        <v>80.278081701856067</v>
      </c>
      <c r="N67">
        <f t="shared" si="11"/>
        <v>0</v>
      </c>
      <c r="O67">
        <f t="shared" si="12"/>
        <v>1</v>
      </c>
      <c r="P67">
        <f t="shared" ref="P67:P130" si="13">IF(I67="strike slip",1,0)</f>
        <v>0</v>
      </c>
      <c r="Q67">
        <f t="shared" ref="Q67:Q130" si="14">IF(G67&gt;$X$3,0,1)</f>
        <v>1</v>
      </c>
      <c r="R67">
        <f t="shared" ref="R67:R130" si="15">IF(G67&gt;$X$3,1,0)</f>
        <v>0</v>
      </c>
      <c r="S67">
        <v>0</v>
      </c>
      <c r="T67">
        <f t="shared" ref="T67:T130" si="16">$X$6+($X$7+$X$8*(G67-$X$2))*LOG10((SQRT((M67^2)+($X$9^2))/$X$4))-$X$10*(SQRT((M67^2)+($X$9^2))-$X$4)+Q67*$X$11*(G67-$X$3)+Q67*$X$12*((G67-$X$3)^2)+R67*$X$13*(G67-$X$3)+$X$14*LOG10(K67/$X$5)+$X$15*N67+$X$16*O67+$X$17*P67</f>
        <v>1.08213294947731</v>
      </c>
      <c r="U67">
        <v>0.15885770532713181</v>
      </c>
      <c r="V67">
        <f t="shared" ref="V67:V130" si="17">U67-T67</f>
        <v>-0.92327524415017814</v>
      </c>
    </row>
    <row r="68" spans="1:22" x14ac:dyDescent="0.2">
      <c r="A68">
        <f t="shared" ref="A68:A131" si="18">A67+1</f>
        <v>67</v>
      </c>
      <c r="B68" s="2">
        <f t="shared" si="8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6">
        <v>5.0999999999999996</v>
      </c>
      <c r="H68" s="5">
        <v>10</v>
      </c>
      <c r="I68" s="7" t="s">
        <v>20</v>
      </c>
      <c r="J68" s="8" t="s">
        <v>16</v>
      </c>
      <c r="K68">
        <v>1141</v>
      </c>
      <c r="L68">
        <v>54.678992298396473</v>
      </c>
      <c r="M68">
        <v>55.585899280016157</v>
      </c>
      <c r="N68">
        <f t="shared" si="11"/>
        <v>0</v>
      </c>
      <c r="O68">
        <f t="shared" si="12"/>
        <v>1</v>
      </c>
      <c r="P68">
        <f t="shared" si="13"/>
        <v>0</v>
      </c>
      <c r="Q68">
        <f t="shared" si="14"/>
        <v>1</v>
      </c>
      <c r="R68">
        <f t="shared" si="15"/>
        <v>0</v>
      </c>
      <c r="S68">
        <v>0</v>
      </c>
      <c r="T68">
        <f t="shared" si="16"/>
        <v>1.1472345911571651</v>
      </c>
      <c r="U68">
        <v>0.55210189009533472</v>
      </c>
      <c r="V68">
        <f t="shared" si="17"/>
        <v>-0.59513270106183036</v>
      </c>
    </row>
    <row r="69" spans="1:22" x14ac:dyDescent="0.2">
      <c r="A69">
        <f t="shared" si="18"/>
        <v>68</v>
      </c>
      <c r="B69" s="2">
        <f t="shared" si="8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6">
        <v>5</v>
      </c>
      <c r="H69" s="5">
        <v>10</v>
      </c>
      <c r="I69" s="7" t="s">
        <v>20</v>
      </c>
      <c r="J69" s="8" t="s">
        <v>13</v>
      </c>
      <c r="K69">
        <v>290</v>
      </c>
      <c r="L69">
        <v>206.86371328942161</v>
      </c>
      <c r="M69">
        <v>207.10527727677058</v>
      </c>
      <c r="N69">
        <f t="shared" si="11"/>
        <v>0</v>
      </c>
      <c r="O69">
        <f t="shared" si="12"/>
        <v>1</v>
      </c>
      <c r="P69">
        <f t="shared" si="13"/>
        <v>0</v>
      </c>
      <c r="Q69">
        <f t="shared" si="14"/>
        <v>1</v>
      </c>
      <c r="R69">
        <f t="shared" si="15"/>
        <v>0</v>
      </c>
      <c r="S69">
        <v>1</v>
      </c>
      <c r="T69">
        <f t="shared" si="16"/>
        <v>0.37496839460064879</v>
      </c>
      <c r="U69">
        <v>-0.37594063542093409</v>
      </c>
      <c r="V69">
        <f t="shared" si="17"/>
        <v>-0.75090903002158282</v>
      </c>
    </row>
    <row r="70" spans="1:22" x14ac:dyDescent="0.2">
      <c r="A70">
        <f t="shared" si="18"/>
        <v>69</v>
      </c>
      <c r="B70" s="2">
        <f t="shared" si="8"/>
        <v>36</v>
      </c>
      <c r="C70" s="27">
        <v>43336</v>
      </c>
      <c r="D70" s="28">
        <v>4.763888888888889E-2</v>
      </c>
      <c r="E70" s="29">
        <v>-8.26</v>
      </c>
      <c r="F70" s="29">
        <v>116.14</v>
      </c>
      <c r="G70" s="6">
        <v>4.4000000000000004</v>
      </c>
      <c r="H70" s="29">
        <v>10</v>
      </c>
      <c r="I70" s="2" t="s">
        <v>20</v>
      </c>
      <c r="J70" s="8" t="s">
        <v>15</v>
      </c>
      <c r="K70">
        <v>770</v>
      </c>
      <c r="L70">
        <v>58.306907947928202</v>
      </c>
      <c r="M70">
        <v>59.158224402429227</v>
      </c>
      <c r="N70">
        <f t="shared" si="11"/>
        <v>0</v>
      </c>
      <c r="O70">
        <f t="shared" si="12"/>
        <v>1</v>
      </c>
      <c r="P70">
        <f t="shared" si="13"/>
        <v>0</v>
      </c>
      <c r="Q70">
        <f t="shared" si="14"/>
        <v>1</v>
      </c>
      <c r="R70">
        <f t="shared" si="15"/>
        <v>0</v>
      </c>
      <c r="S70">
        <v>1</v>
      </c>
      <c r="T70">
        <f t="shared" si="16"/>
        <v>0.67888074083965533</v>
      </c>
      <c r="U70">
        <v>-5.0656488254068488E-2</v>
      </c>
      <c r="V70">
        <f t="shared" si="17"/>
        <v>-0.72953722909372387</v>
      </c>
    </row>
    <row r="71" spans="1:22" x14ac:dyDescent="0.2">
      <c r="A71">
        <f t="shared" si="18"/>
        <v>70</v>
      </c>
      <c r="B71" s="2">
        <f t="shared" ref="B71:B134" si="19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6">
        <v>4.4000000000000004</v>
      </c>
      <c r="H71" s="5">
        <v>10</v>
      </c>
      <c r="I71" s="7" t="s">
        <v>20</v>
      </c>
      <c r="J71" s="8" t="s">
        <v>18</v>
      </c>
      <c r="K71">
        <v>283</v>
      </c>
      <c r="L71">
        <v>143.68082400490985</v>
      </c>
      <c r="M71">
        <v>144.02839715392892</v>
      </c>
      <c r="N71">
        <f t="shared" si="11"/>
        <v>0</v>
      </c>
      <c r="O71">
        <f t="shared" si="12"/>
        <v>1</v>
      </c>
      <c r="P71">
        <f t="shared" si="13"/>
        <v>0</v>
      </c>
      <c r="Q71">
        <f t="shared" si="14"/>
        <v>1</v>
      </c>
      <c r="R71">
        <f t="shared" si="15"/>
        <v>0</v>
      </c>
      <c r="S71">
        <v>1</v>
      </c>
      <c r="T71">
        <f t="shared" si="16"/>
        <v>0.18603229139181499</v>
      </c>
      <c r="U71">
        <v>-1.2378769790811019</v>
      </c>
      <c r="V71">
        <f t="shared" si="17"/>
        <v>-1.423909270472917</v>
      </c>
    </row>
    <row r="72" spans="1:22" x14ac:dyDescent="0.2">
      <c r="A72">
        <f t="shared" si="18"/>
        <v>71</v>
      </c>
      <c r="B72" s="2">
        <f t="shared" si="19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6">
        <v>4.4000000000000004</v>
      </c>
      <c r="H72" s="5">
        <v>10</v>
      </c>
      <c r="I72" s="7" t="s">
        <v>20</v>
      </c>
      <c r="J72" s="8" t="s">
        <v>16</v>
      </c>
      <c r="K72">
        <v>1141</v>
      </c>
      <c r="L72">
        <v>98.06698322263297</v>
      </c>
      <c r="M72">
        <v>98.575520279571322</v>
      </c>
      <c r="N72">
        <f t="shared" si="11"/>
        <v>0</v>
      </c>
      <c r="O72">
        <f t="shared" si="12"/>
        <v>1</v>
      </c>
      <c r="P72">
        <f t="shared" si="13"/>
        <v>0</v>
      </c>
      <c r="Q72">
        <f t="shared" si="14"/>
        <v>1</v>
      </c>
      <c r="R72">
        <f t="shared" si="15"/>
        <v>0</v>
      </c>
      <c r="S72">
        <v>1</v>
      </c>
      <c r="T72">
        <f t="shared" si="16"/>
        <v>0.27409368858305161</v>
      </c>
      <c r="U72">
        <v>-0.32166936713350514</v>
      </c>
      <c r="V72">
        <f t="shared" si="17"/>
        <v>-0.59576305571655674</v>
      </c>
    </row>
    <row r="73" spans="1:22" x14ac:dyDescent="0.2">
      <c r="A73">
        <f t="shared" si="18"/>
        <v>72</v>
      </c>
      <c r="B73" s="2">
        <f t="shared" si="19"/>
        <v>37</v>
      </c>
      <c r="C73" s="27">
        <v>43337</v>
      </c>
      <c r="D73" s="28">
        <v>0.46883101851851849</v>
      </c>
      <c r="E73" s="29">
        <v>-8.2799999999999994</v>
      </c>
      <c r="F73" s="29">
        <v>116.16</v>
      </c>
      <c r="G73" s="6">
        <v>3.5</v>
      </c>
      <c r="H73" s="29">
        <v>10</v>
      </c>
      <c r="I73" s="2" t="s">
        <v>20</v>
      </c>
      <c r="J73" s="8" t="s">
        <v>15</v>
      </c>
      <c r="K73">
        <v>770</v>
      </c>
      <c r="L73">
        <v>55.597799097160255</v>
      </c>
      <c r="M73">
        <v>56.489957199914691</v>
      </c>
      <c r="N73">
        <f t="shared" si="11"/>
        <v>0</v>
      </c>
      <c r="O73">
        <f t="shared" si="12"/>
        <v>1</v>
      </c>
      <c r="P73">
        <f t="shared" si="13"/>
        <v>0</v>
      </c>
      <c r="Q73">
        <f t="shared" si="14"/>
        <v>1</v>
      </c>
      <c r="R73">
        <f t="shared" si="15"/>
        <v>0</v>
      </c>
      <c r="S73">
        <v>1</v>
      </c>
      <c r="T73">
        <f t="shared" si="16"/>
        <v>5.4906553520635282E-4</v>
      </c>
      <c r="U73">
        <v>-0.36207670469087544</v>
      </c>
      <c r="V73">
        <f t="shared" si="17"/>
        <v>-0.36262577022608178</v>
      </c>
    </row>
    <row r="74" spans="1:22" x14ac:dyDescent="0.2">
      <c r="A74">
        <f t="shared" si="18"/>
        <v>73</v>
      </c>
      <c r="B74" s="2">
        <f t="shared" si="19"/>
        <v>38</v>
      </c>
      <c r="C74" s="27">
        <v>43338</v>
      </c>
      <c r="D74" s="28">
        <v>6.4780092592592597E-2</v>
      </c>
      <c r="E74" s="29">
        <v>-8.5500000000000007</v>
      </c>
      <c r="F74" s="29">
        <v>116.93</v>
      </c>
      <c r="G74" s="6">
        <v>5.4</v>
      </c>
      <c r="H74" s="29">
        <v>11</v>
      </c>
      <c r="I74" s="2" t="s">
        <v>20</v>
      </c>
      <c r="J74" s="8" t="s">
        <v>15</v>
      </c>
      <c r="K74">
        <v>770</v>
      </c>
      <c r="L74">
        <v>76.217387166239277</v>
      </c>
      <c r="M74">
        <v>77.007078287962699</v>
      </c>
      <c r="N74">
        <f t="shared" si="11"/>
        <v>0</v>
      </c>
      <c r="O74">
        <f t="shared" si="12"/>
        <v>1</v>
      </c>
      <c r="P74">
        <f t="shared" si="13"/>
        <v>0</v>
      </c>
      <c r="Q74">
        <f t="shared" si="14"/>
        <v>1</v>
      </c>
      <c r="R74">
        <f t="shared" si="15"/>
        <v>0</v>
      </c>
      <c r="S74">
        <v>0</v>
      </c>
      <c r="T74">
        <f t="shared" si="16"/>
        <v>1.1700521616439006</v>
      </c>
      <c r="U74">
        <v>0.32527124702438237</v>
      </c>
      <c r="V74">
        <f t="shared" si="17"/>
        <v>-0.84478091461951821</v>
      </c>
    </row>
    <row r="75" spans="1:22" x14ac:dyDescent="0.2">
      <c r="A75">
        <f t="shared" si="18"/>
        <v>74</v>
      </c>
      <c r="B75" s="2">
        <f t="shared" si="19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6">
        <v>5.4</v>
      </c>
      <c r="H75" s="5">
        <v>11</v>
      </c>
      <c r="I75" s="7" t="s">
        <v>20</v>
      </c>
      <c r="J75" s="8" t="s">
        <v>18</v>
      </c>
      <c r="K75">
        <v>283</v>
      </c>
      <c r="L75">
        <v>54.101593478657179</v>
      </c>
      <c r="M75">
        <v>55.208535725283284</v>
      </c>
      <c r="N75">
        <f t="shared" si="11"/>
        <v>0</v>
      </c>
      <c r="O75">
        <f t="shared" si="12"/>
        <v>1</v>
      </c>
      <c r="P75">
        <f t="shared" si="13"/>
        <v>0</v>
      </c>
      <c r="Q75">
        <f t="shared" si="14"/>
        <v>1</v>
      </c>
      <c r="R75">
        <f t="shared" si="15"/>
        <v>0</v>
      </c>
      <c r="S75">
        <v>0</v>
      </c>
      <c r="T75">
        <f t="shared" si="16"/>
        <v>1.5124471110807705</v>
      </c>
      <c r="U75">
        <v>0.55411161230037043</v>
      </c>
      <c r="V75">
        <f t="shared" si="17"/>
        <v>-0.95833549878040003</v>
      </c>
    </row>
    <row r="76" spans="1:22" x14ac:dyDescent="0.2">
      <c r="A76">
        <f t="shared" si="18"/>
        <v>75</v>
      </c>
      <c r="B76" s="2">
        <f t="shared" si="19"/>
        <v>38</v>
      </c>
      <c r="C76" s="3">
        <v>43338</v>
      </c>
      <c r="D76" s="4">
        <v>6.4780092592592597E-2</v>
      </c>
      <c r="E76" s="29">
        <v>-8.5500000000000007</v>
      </c>
      <c r="F76" s="29">
        <v>116.93</v>
      </c>
      <c r="G76" s="6">
        <v>5.4</v>
      </c>
      <c r="H76" s="5">
        <v>11</v>
      </c>
      <c r="I76" s="7" t="s">
        <v>20</v>
      </c>
      <c r="J76" s="8" t="s">
        <v>16</v>
      </c>
      <c r="K76">
        <v>1141</v>
      </c>
      <c r="L76">
        <v>21.567600659509985</v>
      </c>
      <c r="M76">
        <v>24.210770293571734</v>
      </c>
      <c r="N76">
        <f t="shared" si="11"/>
        <v>0</v>
      </c>
      <c r="O76">
        <f t="shared" si="12"/>
        <v>1</v>
      </c>
      <c r="P76">
        <f t="shared" si="13"/>
        <v>0</v>
      </c>
      <c r="Q76">
        <f t="shared" si="14"/>
        <v>1</v>
      </c>
      <c r="R76">
        <f t="shared" si="15"/>
        <v>0</v>
      </c>
      <c r="S76">
        <v>0</v>
      </c>
      <c r="T76">
        <f t="shared" si="16"/>
        <v>1.8578923578743487</v>
      </c>
      <c r="U76">
        <v>1.6846046321146724</v>
      </c>
      <c r="V76">
        <f t="shared" si="17"/>
        <v>-0.17328772575967633</v>
      </c>
    </row>
    <row r="77" spans="1:22" x14ac:dyDescent="0.2">
      <c r="A77">
        <f t="shared" si="18"/>
        <v>76</v>
      </c>
      <c r="B77" s="2">
        <f t="shared" si="19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6">
        <v>4.8</v>
      </c>
      <c r="H77" s="5">
        <v>10</v>
      </c>
      <c r="I77" s="7" t="s">
        <v>20</v>
      </c>
      <c r="J77" s="8" t="s">
        <v>18</v>
      </c>
      <c r="K77">
        <v>283</v>
      </c>
      <c r="L77">
        <v>150.88889346446217</v>
      </c>
      <c r="M77">
        <v>151.21990004933153</v>
      </c>
      <c r="N77">
        <f t="shared" si="11"/>
        <v>0</v>
      </c>
      <c r="O77">
        <f t="shared" si="12"/>
        <v>1</v>
      </c>
      <c r="P77">
        <f t="shared" si="13"/>
        <v>0</v>
      </c>
      <c r="Q77">
        <f t="shared" si="14"/>
        <v>1</v>
      </c>
      <c r="R77">
        <f t="shared" si="15"/>
        <v>0</v>
      </c>
      <c r="S77">
        <v>1</v>
      </c>
      <c r="T77">
        <f t="shared" si="16"/>
        <v>0.45035968331974074</v>
      </c>
      <c r="U77">
        <v>-0.73446282906036753</v>
      </c>
      <c r="V77">
        <f t="shared" si="17"/>
        <v>-1.1848225123801082</v>
      </c>
    </row>
    <row r="78" spans="1:22" x14ac:dyDescent="0.2">
      <c r="A78">
        <f t="shared" si="18"/>
        <v>77</v>
      </c>
      <c r="B78" s="2">
        <f t="shared" si="19"/>
        <v>39</v>
      </c>
      <c r="C78" s="3">
        <v>43343</v>
      </c>
      <c r="D78" s="4">
        <v>0.1092013888888889</v>
      </c>
      <c r="E78" s="29">
        <v>-8.3699999999999992</v>
      </c>
      <c r="F78" s="29">
        <v>116.06</v>
      </c>
      <c r="G78" s="6">
        <v>4.8</v>
      </c>
      <c r="H78" s="5">
        <v>10</v>
      </c>
      <c r="I78" s="7" t="s">
        <v>20</v>
      </c>
      <c r="J78" s="8" t="s">
        <v>16</v>
      </c>
      <c r="K78">
        <v>1141</v>
      </c>
      <c r="L78">
        <v>100.06290501663518</v>
      </c>
      <c r="M78">
        <v>100.56134923701131</v>
      </c>
      <c r="N78">
        <f t="shared" si="11"/>
        <v>0</v>
      </c>
      <c r="O78">
        <f t="shared" si="12"/>
        <v>1</v>
      </c>
      <c r="P78">
        <f t="shared" si="13"/>
        <v>0</v>
      </c>
      <c r="Q78">
        <f t="shared" si="14"/>
        <v>1</v>
      </c>
      <c r="R78">
        <f t="shared" si="15"/>
        <v>0</v>
      </c>
      <c r="S78">
        <v>1</v>
      </c>
      <c r="T78">
        <f t="shared" si="16"/>
        <v>0.55112261987764199</v>
      </c>
      <c r="U78">
        <v>0.26275486919450669</v>
      </c>
      <c r="V78">
        <f t="shared" si="17"/>
        <v>-0.2883677506831353</v>
      </c>
    </row>
    <row r="79" spans="1:22" x14ac:dyDescent="0.2">
      <c r="A79">
        <f t="shared" si="18"/>
        <v>78</v>
      </c>
      <c r="B79" s="2">
        <f t="shared" si="19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6">
        <v>4</v>
      </c>
      <c r="H79" s="5">
        <v>10</v>
      </c>
      <c r="I79" s="7" t="s">
        <v>20</v>
      </c>
      <c r="J79" s="8" t="s">
        <v>13</v>
      </c>
      <c r="K79">
        <v>290</v>
      </c>
      <c r="L79">
        <v>167.64476863286811</v>
      </c>
      <c r="M79">
        <v>167.94275349049116</v>
      </c>
      <c r="N79">
        <f t="shared" si="11"/>
        <v>0</v>
      </c>
      <c r="O79">
        <f t="shared" si="12"/>
        <v>1</v>
      </c>
      <c r="P79">
        <f t="shared" si="13"/>
        <v>0</v>
      </c>
      <c r="Q79">
        <f t="shared" si="14"/>
        <v>1</v>
      </c>
      <c r="R79">
        <f t="shared" si="15"/>
        <v>0</v>
      </c>
      <c r="S79">
        <v>0</v>
      </c>
      <c r="T79">
        <f t="shared" si="16"/>
        <v>-0.24771333109659516</v>
      </c>
      <c r="U79">
        <v>-1.0695633786762844</v>
      </c>
      <c r="V79">
        <f t="shared" si="17"/>
        <v>-0.82185004757968927</v>
      </c>
    </row>
    <row r="80" spans="1:22" x14ac:dyDescent="0.2">
      <c r="A80">
        <f t="shared" si="18"/>
        <v>79</v>
      </c>
      <c r="B80" s="2">
        <f t="shared" si="19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6">
        <v>4</v>
      </c>
      <c r="H80" s="5">
        <v>10</v>
      </c>
      <c r="I80" s="7" t="s">
        <v>20</v>
      </c>
      <c r="J80" s="8" t="s">
        <v>16</v>
      </c>
      <c r="K80">
        <v>1141</v>
      </c>
      <c r="L80">
        <v>63.28816253904116</v>
      </c>
      <c r="M80">
        <v>64.073329221822803</v>
      </c>
      <c r="N80">
        <f t="shared" si="11"/>
        <v>0</v>
      </c>
      <c r="O80">
        <f t="shared" si="12"/>
        <v>1</v>
      </c>
      <c r="P80">
        <f t="shared" si="13"/>
        <v>0</v>
      </c>
      <c r="Q80">
        <f t="shared" si="14"/>
        <v>1</v>
      </c>
      <c r="R80">
        <f t="shared" si="15"/>
        <v>0</v>
      </c>
      <c r="S80">
        <v>0</v>
      </c>
      <c r="T80">
        <f t="shared" si="16"/>
        <v>0.26922856273500861</v>
      </c>
      <c r="U80">
        <v>-0.50400899373418773</v>
      </c>
      <c r="V80">
        <f t="shared" si="17"/>
        <v>-0.77323755646919634</v>
      </c>
    </row>
    <row r="81" spans="1:22" x14ac:dyDescent="0.2">
      <c r="A81">
        <f t="shared" si="18"/>
        <v>80</v>
      </c>
      <c r="B81" s="2">
        <f t="shared" si="19"/>
        <v>41</v>
      </c>
      <c r="C81" s="34">
        <v>43346</v>
      </c>
      <c r="D81" s="35">
        <v>0.8206134259259259</v>
      </c>
      <c r="E81" s="36">
        <v>-8.2799999999999994</v>
      </c>
      <c r="F81" s="36">
        <v>116.12</v>
      </c>
      <c r="G81" s="6">
        <v>3.8</v>
      </c>
      <c r="H81" s="36">
        <v>12</v>
      </c>
      <c r="I81" s="2" t="s">
        <v>20</v>
      </c>
      <c r="J81" s="8" t="s">
        <v>15</v>
      </c>
      <c r="K81">
        <v>770</v>
      </c>
      <c r="L81">
        <v>56.817893431278847</v>
      </c>
      <c r="M81">
        <v>58.071275291387906</v>
      </c>
      <c r="N81">
        <f t="shared" si="11"/>
        <v>0</v>
      </c>
      <c r="O81">
        <f t="shared" si="12"/>
        <v>1</v>
      </c>
      <c r="P81">
        <f t="shared" si="13"/>
        <v>0</v>
      </c>
      <c r="Q81">
        <f t="shared" si="14"/>
        <v>1</v>
      </c>
      <c r="R81">
        <f t="shared" si="15"/>
        <v>0</v>
      </c>
      <c r="S81">
        <v>1</v>
      </c>
      <c r="T81">
        <f t="shared" si="16"/>
        <v>0.22973190515422942</v>
      </c>
      <c r="U81">
        <v>-0.52778301701972641</v>
      </c>
      <c r="V81">
        <f t="shared" si="17"/>
        <v>-0.75751492217395588</v>
      </c>
    </row>
    <row r="82" spans="1:22" x14ac:dyDescent="0.2">
      <c r="A82">
        <f t="shared" si="18"/>
        <v>81</v>
      </c>
      <c r="B82" s="2">
        <f t="shared" si="19"/>
        <v>42</v>
      </c>
      <c r="C82" s="34">
        <v>43347</v>
      </c>
      <c r="D82" s="35">
        <v>0.43399305555794854</v>
      </c>
      <c r="E82" s="5">
        <v>-8.49</v>
      </c>
      <c r="F82" s="5">
        <v>116.93</v>
      </c>
      <c r="G82" s="6">
        <v>3.8</v>
      </c>
      <c r="H82" s="5">
        <v>10</v>
      </c>
      <c r="I82" s="2" t="s">
        <v>20</v>
      </c>
      <c r="J82" s="8" t="s">
        <v>15</v>
      </c>
      <c r="K82">
        <v>770</v>
      </c>
      <c r="L82">
        <v>78.572321998070137</v>
      </c>
      <c r="M82">
        <v>79.206122138180817</v>
      </c>
      <c r="N82">
        <f t="shared" si="11"/>
        <v>0</v>
      </c>
      <c r="O82">
        <f t="shared" si="12"/>
        <v>1</v>
      </c>
      <c r="P82">
        <f t="shared" si="13"/>
        <v>0</v>
      </c>
      <c r="Q82">
        <f t="shared" si="14"/>
        <v>1</v>
      </c>
      <c r="R82">
        <f t="shared" si="15"/>
        <v>0</v>
      </c>
      <c r="S82">
        <v>0</v>
      </c>
      <c r="T82">
        <f t="shared" si="16"/>
        <v>5.8915545299555588E-3</v>
      </c>
      <c r="U82">
        <v>-0.73616009611106237</v>
      </c>
      <c r="V82">
        <f t="shared" si="17"/>
        <v>-0.74205165064101797</v>
      </c>
    </row>
    <row r="83" spans="1:22" x14ac:dyDescent="0.2">
      <c r="A83">
        <f t="shared" si="18"/>
        <v>82</v>
      </c>
      <c r="B83" s="2">
        <f t="shared" si="19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6">
        <v>5</v>
      </c>
      <c r="H83" s="5">
        <v>10</v>
      </c>
      <c r="I83" s="7" t="s">
        <v>20</v>
      </c>
      <c r="J83" s="8" t="s">
        <v>13</v>
      </c>
      <c r="K83">
        <v>290</v>
      </c>
      <c r="L83">
        <v>148.74898529807919</v>
      </c>
      <c r="M83">
        <v>149.08474310675851</v>
      </c>
      <c r="N83">
        <f t="shared" si="11"/>
        <v>0</v>
      </c>
      <c r="O83">
        <f t="shared" si="12"/>
        <v>1</v>
      </c>
      <c r="P83">
        <f t="shared" si="13"/>
        <v>0</v>
      </c>
      <c r="Q83">
        <f t="shared" si="14"/>
        <v>1</v>
      </c>
      <c r="R83">
        <f t="shared" si="15"/>
        <v>0</v>
      </c>
      <c r="S83">
        <v>0</v>
      </c>
      <c r="T83">
        <f t="shared" si="16"/>
        <v>0.59796996157186633</v>
      </c>
      <c r="U83">
        <v>-2.704615695241671E-2</v>
      </c>
      <c r="V83">
        <f t="shared" si="17"/>
        <v>-0.62501611852428307</v>
      </c>
    </row>
    <row r="84" spans="1:22" x14ac:dyDescent="0.2">
      <c r="A84">
        <f t="shared" si="18"/>
        <v>83</v>
      </c>
      <c r="B84" s="2">
        <f t="shared" si="19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6">
        <v>4.9000000000000004</v>
      </c>
      <c r="H84" s="5">
        <v>10</v>
      </c>
      <c r="I84" s="7" t="s">
        <v>20</v>
      </c>
      <c r="J84" s="8" t="s">
        <v>14</v>
      </c>
      <c r="K84">
        <v>210</v>
      </c>
      <c r="L84">
        <v>70.821365178451273</v>
      </c>
      <c r="M84">
        <v>71.523882485080122</v>
      </c>
      <c r="N84">
        <f t="shared" si="11"/>
        <v>0</v>
      </c>
      <c r="O84">
        <f t="shared" si="12"/>
        <v>1</v>
      </c>
      <c r="P84">
        <f t="shared" si="13"/>
        <v>0</v>
      </c>
      <c r="Q84">
        <f t="shared" si="14"/>
        <v>1</v>
      </c>
      <c r="R84">
        <f t="shared" si="15"/>
        <v>0</v>
      </c>
      <c r="S84">
        <v>1</v>
      </c>
      <c r="T84">
        <f t="shared" si="16"/>
        <v>1.0651848510342494</v>
      </c>
      <c r="U84">
        <v>-0.51299927458163164</v>
      </c>
      <c r="V84">
        <f t="shared" si="17"/>
        <v>-1.5781841256158811</v>
      </c>
    </row>
    <row r="85" spans="1:22" x14ac:dyDescent="0.2">
      <c r="A85">
        <f t="shared" si="18"/>
        <v>84</v>
      </c>
      <c r="B85" s="2">
        <f t="shared" si="19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6">
        <v>4.9000000000000004</v>
      </c>
      <c r="H85" s="5">
        <v>10</v>
      </c>
      <c r="I85" s="7" t="s">
        <v>20</v>
      </c>
      <c r="J85" s="8" t="s">
        <v>18</v>
      </c>
      <c r="K85">
        <v>283</v>
      </c>
      <c r="L85">
        <v>87.409156199622487</v>
      </c>
      <c r="M85">
        <v>87.979319089942962</v>
      </c>
      <c r="N85">
        <f t="shared" si="11"/>
        <v>0</v>
      </c>
      <c r="O85">
        <f t="shared" si="12"/>
        <v>1</v>
      </c>
      <c r="P85">
        <f t="shared" si="13"/>
        <v>0</v>
      </c>
      <c r="Q85">
        <f t="shared" si="14"/>
        <v>1</v>
      </c>
      <c r="R85">
        <f t="shared" si="15"/>
        <v>0</v>
      </c>
      <c r="S85">
        <v>0</v>
      </c>
      <c r="T85">
        <f t="shared" si="16"/>
        <v>0.8880850034722243</v>
      </c>
      <c r="U85">
        <v>-0.25220182662278928</v>
      </c>
      <c r="V85">
        <f t="shared" si="17"/>
        <v>-1.1402868300950135</v>
      </c>
    </row>
    <row r="86" spans="1:22" x14ac:dyDescent="0.2">
      <c r="A86">
        <f t="shared" si="18"/>
        <v>85</v>
      </c>
      <c r="B86" s="2">
        <f t="shared" si="19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6">
        <v>4.7</v>
      </c>
      <c r="H86" s="5">
        <v>5</v>
      </c>
      <c r="I86" s="7" t="s">
        <v>20</v>
      </c>
      <c r="J86" s="8" t="s">
        <v>13</v>
      </c>
      <c r="K86">
        <v>290</v>
      </c>
      <c r="L86">
        <v>196.8111840223722</v>
      </c>
      <c r="M86">
        <v>196.87468642841836</v>
      </c>
      <c r="N86">
        <f t="shared" si="11"/>
        <v>0</v>
      </c>
      <c r="O86">
        <f t="shared" si="12"/>
        <v>1</v>
      </c>
      <c r="P86">
        <f t="shared" si="13"/>
        <v>0</v>
      </c>
      <c r="Q86">
        <f t="shared" si="14"/>
        <v>1</v>
      </c>
      <c r="R86">
        <f t="shared" si="15"/>
        <v>0</v>
      </c>
      <c r="S86">
        <v>1</v>
      </c>
      <c r="T86">
        <f t="shared" si="16"/>
        <v>0.19203223184859095</v>
      </c>
      <c r="U86">
        <v>-0.54108874661418627</v>
      </c>
      <c r="V86">
        <f t="shared" si="17"/>
        <v>-0.73312097846277724</v>
      </c>
    </row>
    <row r="87" spans="1:22" x14ac:dyDescent="0.2">
      <c r="A87">
        <f t="shared" si="18"/>
        <v>86</v>
      </c>
      <c r="B87" s="2">
        <f t="shared" si="19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6">
        <v>4.7</v>
      </c>
      <c r="H87" s="5">
        <v>5</v>
      </c>
      <c r="I87" s="7" t="s">
        <v>20</v>
      </c>
      <c r="J87" s="8" t="s">
        <v>14</v>
      </c>
      <c r="K87">
        <v>210</v>
      </c>
      <c r="L87">
        <v>71.928133474305866</v>
      </c>
      <c r="M87">
        <v>72.101708614273207</v>
      </c>
      <c r="N87">
        <f t="shared" si="11"/>
        <v>0</v>
      </c>
      <c r="O87">
        <f t="shared" si="12"/>
        <v>1</v>
      </c>
      <c r="P87">
        <f t="shared" si="13"/>
        <v>0</v>
      </c>
      <c r="Q87">
        <f t="shared" si="14"/>
        <v>1</v>
      </c>
      <c r="R87">
        <f t="shared" si="15"/>
        <v>0</v>
      </c>
      <c r="S87">
        <v>1</v>
      </c>
      <c r="T87">
        <f t="shared" si="16"/>
        <v>0.92289140211939369</v>
      </c>
      <c r="U87">
        <v>-0.43950966538572861</v>
      </c>
      <c r="V87">
        <f t="shared" si="17"/>
        <v>-1.3624010675051224</v>
      </c>
    </row>
    <row r="88" spans="1:22" x14ac:dyDescent="0.2">
      <c r="A88">
        <f t="shared" si="18"/>
        <v>87</v>
      </c>
      <c r="B88" s="2">
        <f t="shared" si="19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6">
        <v>4.7</v>
      </c>
      <c r="H88" s="5">
        <v>5</v>
      </c>
      <c r="I88" s="7" t="s">
        <v>20</v>
      </c>
      <c r="J88" s="8" t="s">
        <v>18</v>
      </c>
      <c r="K88">
        <v>283</v>
      </c>
      <c r="L88">
        <v>100.73119085035158</v>
      </c>
      <c r="M88">
        <v>100.85520715426622</v>
      </c>
      <c r="N88">
        <f t="shared" si="11"/>
        <v>0</v>
      </c>
      <c r="O88">
        <f t="shared" si="12"/>
        <v>1</v>
      </c>
      <c r="P88">
        <f t="shared" si="13"/>
        <v>0</v>
      </c>
      <c r="Q88">
        <f t="shared" si="14"/>
        <v>1</v>
      </c>
      <c r="R88">
        <f t="shared" si="15"/>
        <v>0</v>
      </c>
      <c r="S88">
        <v>1</v>
      </c>
      <c r="T88">
        <f t="shared" si="16"/>
        <v>0.65599389361741589</v>
      </c>
      <c r="U88">
        <v>-0.44273415157525708</v>
      </c>
      <c r="V88">
        <f t="shared" si="17"/>
        <v>-1.0987280451926731</v>
      </c>
    </row>
    <row r="89" spans="1:22" x14ac:dyDescent="0.2">
      <c r="A89">
        <f t="shared" si="18"/>
        <v>88</v>
      </c>
      <c r="B89" s="2">
        <f t="shared" si="19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6">
        <v>4.9000000000000004</v>
      </c>
      <c r="H89" s="5">
        <v>10</v>
      </c>
      <c r="I89" s="7" t="s">
        <v>20</v>
      </c>
      <c r="J89" s="8" t="s">
        <v>13</v>
      </c>
      <c r="K89">
        <v>290</v>
      </c>
      <c r="L89">
        <v>193.95907906707598</v>
      </c>
      <c r="M89">
        <v>194.21669431989679</v>
      </c>
      <c r="N89">
        <f t="shared" si="11"/>
        <v>0</v>
      </c>
      <c r="O89">
        <f t="shared" si="12"/>
        <v>1</v>
      </c>
      <c r="P89">
        <f t="shared" si="13"/>
        <v>0</v>
      </c>
      <c r="Q89">
        <f t="shared" si="14"/>
        <v>1</v>
      </c>
      <c r="R89">
        <f t="shared" si="15"/>
        <v>0</v>
      </c>
      <c r="S89">
        <v>0</v>
      </c>
      <c r="T89">
        <f t="shared" si="16"/>
        <v>0.34766596066488353</v>
      </c>
      <c r="U89">
        <v>-0.61998353199452882</v>
      </c>
      <c r="V89">
        <f t="shared" si="17"/>
        <v>-0.96764949265941236</v>
      </c>
    </row>
    <row r="90" spans="1:22" x14ac:dyDescent="0.2">
      <c r="A90">
        <f t="shared" si="18"/>
        <v>89</v>
      </c>
      <c r="B90" s="2">
        <f t="shared" si="19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6">
        <v>4.9000000000000004</v>
      </c>
      <c r="H90" s="5">
        <v>10</v>
      </c>
      <c r="I90" s="7" t="s">
        <v>20</v>
      </c>
      <c r="J90" s="8" t="s">
        <v>14</v>
      </c>
      <c r="K90">
        <v>210</v>
      </c>
      <c r="L90">
        <v>71.45004970385618</v>
      </c>
      <c r="M90">
        <v>72.146445530486943</v>
      </c>
      <c r="N90">
        <f t="shared" si="11"/>
        <v>0</v>
      </c>
      <c r="O90">
        <f t="shared" si="12"/>
        <v>1</v>
      </c>
      <c r="P90">
        <f t="shared" si="13"/>
        <v>0</v>
      </c>
      <c r="Q90">
        <f t="shared" si="14"/>
        <v>1</v>
      </c>
      <c r="R90">
        <f t="shared" si="15"/>
        <v>0</v>
      </c>
      <c r="S90">
        <v>1</v>
      </c>
      <c r="T90">
        <f t="shared" si="16"/>
        <v>1.0593737126215996</v>
      </c>
      <c r="U90">
        <v>-0.26103068924800926</v>
      </c>
      <c r="V90">
        <f t="shared" si="17"/>
        <v>-1.3204044018696088</v>
      </c>
    </row>
    <row r="91" spans="1:22" x14ac:dyDescent="0.2">
      <c r="A91">
        <f t="shared" si="18"/>
        <v>90</v>
      </c>
      <c r="B91" s="2">
        <f t="shared" si="19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6">
        <v>4.9000000000000004</v>
      </c>
      <c r="H91" s="5">
        <v>10</v>
      </c>
      <c r="I91" s="7" t="s">
        <v>20</v>
      </c>
      <c r="J91" s="8" t="s">
        <v>18</v>
      </c>
      <c r="K91">
        <v>283</v>
      </c>
      <c r="L91">
        <v>97.398208788098572</v>
      </c>
      <c r="M91">
        <v>97.910219462168712</v>
      </c>
      <c r="N91">
        <f t="shared" si="11"/>
        <v>0</v>
      </c>
      <c r="O91">
        <f t="shared" si="12"/>
        <v>1</v>
      </c>
      <c r="P91">
        <f t="shared" si="13"/>
        <v>0</v>
      </c>
      <c r="Q91">
        <f t="shared" si="14"/>
        <v>1</v>
      </c>
      <c r="R91">
        <f t="shared" si="15"/>
        <v>0</v>
      </c>
      <c r="S91">
        <v>0</v>
      </c>
      <c r="T91">
        <f t="shared" si="16"/>
        <v>0.8160284580466608</v>
      </c>
      <c r="U91">
        <v>-0.45711844062149182</v>
      </c>
      <c r="V91">
        <f t="shared" si="17"/>
        <v>-1.2731468986681527</v>
      </c>
    </row>
    <row r="92" spans="1:22" x14ac:dyDescent="0.2">
      <c r="A92">
        <f t="shared" si="18"/>
        <v>91</v>
      </c>
      <c r="B92" s="2">
        <f t="shared" si="19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6">
        <v>4.5</v>
      </c>
      <c r="H92" s="5">
        <v>10</v>
      </c>
      <c r="I92" s="7" t="s">
        <v>20</v>
      </c>
      <c r="J92" s="8" t="s">
        <v>13</v>
      </c>
      <c r="K92">
        <v>290</v>
      </c>
      <c r="L92">
        <v>210.08629900607102</v>
      </c>
      <c r="M92">
        <v>210.32416178382425</v>
      </c>
      <c r="N92">
        <f t="shared" si="11"/>
        <v>0</v>
      </c>
      <c r="O92">
        <f t="shared" si="12"/>
        <v>1</v>
      </c>
      <c r="P92">
        <f t="shared" si="13"/>
        <v>0</v>
      </c>
      <c r="Q92">
        <f t="shared" si="14"/>
        <v>1</v>
      </c>
      <c r="R92">
        <f t="shared" si="15"/>
        <v>0</v>
      </c>
      <c r="S92">
        <v>1</v>
      </c>
      <c r="T92">
        <f t="shared" si="16"/>
        <v>-6.3146928916566758E-3</v>
      </c>
      <c r="U92">
        <v>-1.0034354009234689</v>
      </c>
      <c r="V92">
        <f t="shared" si="17"/>
        <v>-0.9971207080318123</v>
      </c>
    </row>
    <row r="93" spans="1:22" x14ac:dyDescent="0.2">
      <c r="A93">
        <f t="shared" si="18"/>
        <v>92</v>
      </c>
      <c r="B93" s="2">
        <f t="shared" si="19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6">
        <v>4.5</v>
      </c>
      <c r="H93" s="5">
        <v>10</v>
      </c>
      <c r="I93" s="7" t="s">
        <v>20</v>
      </c>
      <c r="J93" s="8" t="s">
        <v>18</v>
      </c>
      <c r="K93">
        <v>283</v>
      </c>
      <c r="L93">
        <v>113.49793514390502</v>
      </c>
      <c r="M93">
        <v>113.9376201345722</v>
      </c>
      <c r="N93">
        <f t="shared" si="11"/>
        <v>0</v>
      </c>
      <c r="O93">
        <f t="shared" si="12"/>
        <v>1</v>
      </c>
      <c r="P93">
        <f t="shared" si="13"/>
        <v>0</v>
      </c>
      <c r="Q93">
        <f t="shared" si="14"/>
        <v>1</v>
      </c>
      <c r="R93">
        <f t="shared" si="15"/>
        <v>0</v>
      </c>
      <c r="S93">
        <v>1</v>
      </c>
      <c r="T93">
        <f t="shared" si="16"/>
        <v>0.42580431302871335</v>
      </c>
      <c r="U93">
        <v>-0.67044360575427753</v>
      </c>
      <c r="V93">
        <f t="shared" si="17"/>
        <v>-1.096247918782991</v>
      </c>
    </row>
    <row r="94" spans="1:22" x14ac:dyDescent="0.2">
      <c r="A94">
        <f t="shared" si="18"/>
        <v>93</v>
      </c>
      <c r="B94" s="2">
        <f t="shared" si="19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6">
        <v>3.8</v>
      </c>
      <c r="H94" s="5">
        <v>10</v>
      </c>
      <c r="I94" s="7" t="s">
        <v>20</v>
      </c>
      <c r="J94" s="8" t="s">
        <v>14</v>
      </c>
      <c r="K94">
        <v>210</v>
      </c>
      <c r="L94">
        <v>28.931001680991574</v>
      </c>
      <c r="M94">
        <v>30.610502417724824</v>
      </c>
      <c r="N94">
        <f t="shared" si="11"/>
        <v>0</v>
      </c>
      <c r="O94">
        <f t="shared" si="12"/>
        <v>1</v>
      </c>
      <c r="P94">
        <f t="shared" si="13"/>
        <v>0</v>
      </c>
      <c r="Q94">
        <f t="shared" si="14"/>
        <v>1</v>
      </c>
      <c r="R94">
        <f t="shared" si="15"/>
        <v>0</v>
      </c>
      <c r="S94">
        <v>1</v>
      </c>
      <c r="T94">
        <f t="shared" si="16"/>
        <v>0.85143220710913159</v>
      </c>
      <c r="U94">
        <v>-0.35667397048757005</v>
      </c>
      <c r="V94">
        <f t="shared" si="17"/>
        <v>-1.2081061775967017</v>
      </c>
    </row>
    <row r="95" spans="1:22" x14ac:dyDescent="0.2">
      <c r="A95">
        <f t="shared" si="18"/>
        <v>94</v>
      </c>
      <c r="B95" s="2">
        <f t="shared" si="19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6">
        <v>4.2</v>
      </c>
      <c r="H95" s="5">
        <v>12</v>
      </c>
      <c r="I95" s="7" t="s">
        <v>20</v>
      </c>
      <c r="J95" s="8" t="s">
        <v>13</v>
      </c>
      <c r="K95">
        <v>290</v>
      </c>
      <c r="L95">
        <v>219.07442776542351</v>
      </c>
      <c r="M95">
        <v>219.40283703896759</v>
      </c>
      <c r="N95">
        <f t="shared" si="11"/>
        <v>0</v>
      </c>
      <c r="O95">
        <f t="shared" si="12"/>
        <v>1</v>
      </c>
      <c r="P95">
        <f t="shared" si="13"/>
        <v>0</v>
      </c>
      <c r="Q95">
        <f t="shared" si="14"/>
        <v>1</v>
      </c>
      <c r="R95">
        <f t="shared" si="15"/>
        <v>0</v>
      </c>
      <c r="S95">
        <v>1</v>
      </c>
      <c r="T95">
        <f t="shared" si="16"/>
        <v>-0.27557991168599155</v>
      </c>
      <c r="U95">
        <v>-0.92984162619571353</v>
      </c>
      <c r="V95">
        <f t="shared" si="17"/>
        <v>-0.65426171450972204</v>
      </c>
    </row>
    <row r="96" spans="1:22" x14ac:dyDescent="0.2">
      <c r="A96">
        <f t="shared" si="18"/>
        <v>95</v>
      </c>
      <c r="B96" s="2">
        <f t="shared" si="19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6">
        <v>4.2</v>
      </c>
      <c r="H96" s="5">
        <v>12</v>
      </c>
      <c r="I96" s="7" t="s">
        <v>20</v>
      </c>
      <c r="J96" s="8" t="s">
        <v>14</v>
      </c>
      <c r="K96">
        <v>210</v>
      </c>
      <c r="L96">
        <v>54.022115727964547</v>
      </c>
      <c r="M96">
        <v>55.33885603918457</v>
      </c>
      <c r="N96">
        <f t="shared" si="11"/>
        <v>0</v>
      </c>
      <c r="O96">
        <f t="shared" si="12"/>
        <v>1</v>
      </c>
      <c r="P96">
        <f t="shared" si="13"/>
        <v>0</v>
      </c>
      <c r="Q96">
        <f t="shared" si="14"/>
        <v>1</v>
      </c>
      <c r="R96">
        <f t="shared" si="15"/>
        <v>0</v>
      </c>
      <c r="S96">
        <v>1</v>
      </c>
      <c r="T96">
        <f t="shared" si="16"/>
        <v>0.74237026054279331</v>
      </c>
      <c r="U96">
        <v>-0.53684091468679518</v>
      </c>
      <c r="V96">
        <f t="shared" si="17"/>
        <v>-1.2792111752295885</v>
      </c>
    </row>
    <row r="97" spans="1:22" x14ac:dyDescent="0.2">
      <c r="A97">
        <f t="shared" si="18"/>
        <v>96</v>
      </c>
      <c r="B97" s="2">
        <f t="shared" si="19"/>
        <v>49</v>
      </c>
      <c r="C97" s="34">
        <v>43357</v>
      </c>
      <c r="D97" s="35">
        <v>0.16467592593107838</v>
      </c>
      <c r="E97" s="36">
        <v>-8.16</v>
      </c>
      <c r="F97" s="36">
        <v>116.37</v>
      </c>
      <c r="G97" s="6">
        <v>4.2</v>
      </c>
      <c r="H97" s="36">
        <v>12</v>
      </c>
      <c r="I97" s="2" t="s">
        <v>20</v>
      </c>
      <c r="J97" s="8" t="s">
        <v>15</v>
      </c>
      <c r="K97">
        <v>770</v>
      </c>
      <c r="L97">
        <v>68.094097247178624</v>
      </c>
      <c r="M97">
        <v>69.143373362226257</v>
      </c>
      <c r="N97">
        <f t="shared" si="11"/>
        <v>0</v>
      </c>
      <c r="O97">
        <f t="shared" si="12"/>
        <v>1</v>
      </c>
      <c r="P97">
        <f t="shared" si="13"/>
        <v>0</v>
      </c>
      <c r="Q97">
        <f t="shared" si="14"/>
        <v>1</v>
      </c>
      <c r="R97">
        <f t="shared" si="15"/>
        <v>0</v>
      </c>
      <c r="S97">
        <v>1</v>
      </c>
      <c r="T97">
        <f t="shared" si="16"/>
        <v>0.42074104255848915</v>
      </c>
      <c r="U97">
        <v>-0.52356643325129504</v>
      </c>
      <c r="V97">
        <f t="shared" si="17"/>
        <v>-0.94430747580978425</v>
      </c>
    </row>
    <row r="98" spans="1:22" x14ac:dyDescent="0.2">
      <c r="A98">
        <f t="shared" si="18"/>
        <v>97</v>
      </c>
      <c r="B98" s="2">
        <f t="shared" si="19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6">
        <v>4.2</v>
      </c>
      <c r="H98" s="5">
        <v>10</v>
      </c>
      <c r="I98" s="7" t="s">
        <v>20</v>
      </c>
      <c r="J98" s="8" t="s">
        <v>18</v>
      </c>
      <c r="K98">
        <v>283</v>
      </c>
      <c r="L98">
        <v>149.41083072966944</v>
      </c>
      <c r="M98">
        <v>149.74510455881332</v>
      </c>
      <c r="N98">
        <f t="shared" ref="N98:N129" si="20">IF(I98="normal",1,0)</f>
        <v>0</v>
      </c>
      <c r="O98">
        <f t="shared" ref="O98:O129" si="21">IF(I98="reverse",1,0)</f>
        <v>1</v>
      </c>
      <c r="P98">
        <f t="shared" si="13"/>
        <v>0</v>
      </c>
      <c r="Q98">
        <f t="shared" si="14"/>
        <v>1</v>
      </c>
      <c r="R98">
        <f t="shared" si="15"/>
        <v>0</v>
      </c>
      <c r="S98">
        <v>1</v>
      </c>
      <c r="T98">
        <f t="shared" si="16"/>
        <v>1.2447574338841361E-3</v>
      </c>
      <c r="U98">
        <v>-1.092992625761406</v>
      </c>
      <c r="V98">
        <f t="shared" si="17"/>
        <v>-1.0942373831952901</v>
      </c>
    </row>
    <row r="99" spans="1:22" x14ac:dyDescent="0.2">
      <c r="A99">
        <f t="shared" si="18"/>
        <v>98</v>
      </c>
      <c r="B99" s="2">
        <f t="shared" si="19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6">
        <v>3.5</v>
      </c>
      <c r="H99" s="5">
        <v>16</v>
      </c>
      <c r="I99" s="7" t="s">
        <v>20</v>
      </c>
      <c r="J99" s="8" t="s">
        <v>14</v>
      </c>
      <c r="K99">
        <v>210</v>
      </c>
      <c r="L99">
        <v>27.234821366102938</v>
      </c>
      <c r="M99">
        <v>31.586951338227262</v>
      </c>
      <c r="N99">
        <f t="shared" si="20"/>
        <v>0</v>
      </c>
      <c r="O99">
        <f t="shared" si="21"/>
        <v>1</v>
      </c>
      <c r="P99">
        <f t="shared" si="13"/>
        <v>0</v>
      </c>
      <c r="Q99">
        <f t="shared" si="14"/>
        <v>1</v>
      </c>
      <c r="R99">
        <f t="shared" si="15"/>
        <v>0</v>
      </c>
      <c r="S99">
        <v>1</v>
      </c>
      <c r="T99">
        <f t="shared" si="16"/>
        <v>0.58837341959582035</v>
      </c>
      <c r="U99">
        <v>-0.13544960977869747</v>
      </c>
      <c r="V99">
        <f t="shared" si="17"/>
        <v>-0.72382302937451781</v>
      </c>
    </row>
    <row r="100" spans="1:22" x14ac:dyDescent="0.2">
      <c r="A100">
        <f t="shared" si="18"/>
        <v>99</v>
      </c>
      <c r="B100" s="2">
        <f t="shared" si="19"/>
        <v>51</v>
      </c>
      <c r="C100" s="34">
        <v>43364</v>
      </c>
      <c r="D100" s="35">
        <v>0.28790509259852115</v>
      </c>
      <c r="E100" s="36">
        <v>-8.32</v>
      </c>
      <c r="F100" s="36">
        <v>116.12</v>
      </c>
      <c r="G100" s="6">
        <v>3.5</v>
      </c>
      <c r="H100" s="36">
        <v>16</v>
      </c>
      <c r="I100" s="2" t="s">
        <v>20</v>
      </c>
      <c r="J100" s="8" t="s">
        <v>15</v>
      </c>
      <c r="K100">
        <v>770</v>
      </c>
      <c r="L100">
        <v>52.611970116012088</v>
      </c>
      <c r="M100">
        <v>54.991084727327838</v>
      </c>
      <c r="N100">
        <f t="shared" si="20"/>
        <v>0</v>
      </c>
      <c r="O100">
        <f t="shared" si="21"/>
        <v>1</v>
      </c>
      <c r="P100">
        <f t="shared" si="13"/>
        <v>0</v>
      </c>
      <c r="Q100">
        <f t="shared" si="14"/>
        <v>1</v>
      </c>
      <c r="R100">
        <f t="shared" si="15"/>
        <v>0</v>
      </c>
      <c r="S100">
        <v>1</v>
      </c>
      <c r="T100">
        <f t="shared" si="16"/>
        <v>2.0242070280434524E-2</v>
      </c>
      <c r="U100">
        <v>-0.5137366173646345</v>
      </c>
      <c r="V100">
        <f t="shared" si="17"/>
        <v>-0.53397868764506906</v>
      </c>
    </row>
    <row r="101" spans="1:22" x14ac:dyDescent="0.2">
      <c r="A101">
        <f t="shared" si="18"/>
        <v>100</v>
      </c>
      <c r="B101" s="2">
        <f t="shared" si="19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6">
        <v>4</v>
      </c>
      <c r="H101" s="5">
        <v>13</v>
      </c>
      <c r="I101" s="7" t="s">
        <v>20</v>
      </c>
      <c r="J101" s="8" t="s">
        <v>18</v>
      </c>
      <c r="K101">
        <v>283</v>
      </c>
      <c r="L101">
        <v>76.556929365864917</v>
      </c>
      <c r="M101">
        <v>77.652839187823844</v>
      </c>
      <c r="N101">
        <f t="shared" si="20"/>
        <v>0</v>
      </c>
      <c r="O101">
        <f t="shared" si="21"/>
        <v>1</v>
      </c>
      <c r="P101">
        <f t="shared" si="13"/>
        <v>0</v>
      </c>
      <c r="Q101">
        <f t="shared" si="14"/>
        <v>1</v>
      </c>
      <c r="R101">
        <f t="shared" si="15"/>
        <v>0</v>
      </c>
      <c r="S101">
        <v>0</v>
      </c>
      <c r="T101">
        <f t="shared" si="16"/>
        <v>0.3098534121015955</v>
      </c>
      <c r="U101">
        <v>-0.93659731711660588</v>
      </c>
      <c r="V101">
        <f t="shared" si="17"/>
        <v>-1.2464507292182014</v>
      </c>
    </row>
    <row r="102" spans="1:22" x14ac:dyDescent="0.2">
      <c r="A102">
        <f t="shared" si="18"/>
        <v>101</v>
      </c>
      <c r="B102" s="2">
        <f t="shared" si="19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6">
        <v>3.7</v>
      </c>
      <c r="H102" s="5">
        <v>11</v>
      </c>
      <c r="I102" s="7" t="s">
        <v>20</v>
      </c>
      <c r="J102" s="8" t="s">
        <v>12</v>
      </c>
      <c r="K102">
        <v>386</v>
      </c>
      <c r="L102">
        <v>202.99354263663312</v>
      </c>
      <c r="M102">
        <v>203.29136320112224</v>
      </c>
      <c r="N102">
        <f t="shared" si="20"/>
        <v>0</v>
      </c>
      <c r="O102">
        <f t="shared" si="21"/>
        <v>1</v>
      </c>
      <c r="P102">
        <f t="shared" si="13"/>
        <v>0</v>
      </c>
      <c r="Q102">
        <f t="shared" si="14"/>
        <v>1</v>
      </c>
      <c r="R102">
        <f t="shared" si="15"/>
        <v>0</v>
      </c>
      <c r="S102">
        <v>0</v>
      </c>
      <c r="T102">
        <f t="shared" si="16"/>
        <v>-0.68170080780390374</v>
      </c>
      <c r="U102">
        <v>-0.57736591534157244</v>
      </c>
      <c r="V102">
        <f t="shared" si="17"/>
        <v>0.1043348924623313</v>
      </c>
    </row>
    <row r="103" spans="1:22" x14ac:dyDescent="0.2">
      <c r="A103">
        <f t="shared" si="18"/>
        <v>102</v>
      </c>
      <c r="B103" s="2">
        <f t="shared" si="19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6">
        <v>4.9000000000000004</v>
      </c>
      <c r="H103" s="5">
        <v>10</v>
      </c>
      <c r="I103" s="7" t="s">
        <v>20</v>
      </c>
      <c r="J103" s="8" t="s">
        <v>14</v>
      </c>
      <c r="K103">
        <v>210</v>
      </c>
      <c r="L103">
        <v>74.843048563414939</v>
      </c>
      <c r="M103">
        <v>75.508157958366894</v>
      </c>
      <c r="N103">
        <f t="shared" si="20"/>
        <v>0</v>
      </c>
      <c r="O103">
        <f t="shared" si="21"/>
        <v>1</v>
      </c>
      <c r="P103">
        <f t="shared" si="13"/>
        <v>0</v>
      </c>
      <c r="Q103">
        <f t="shared" si="14"/>
        <v>1</v>
      </c>
      <c r="R103">
        <f t="shared" si="15"/>
        <v>0</v>
      </c>
      <c r="S103">
        <v>1</v>
      </c>
      <c r="T103">
        <f t="shared" si="16"/>
        <v>1.0288205562937383</v>
      </c>
      <c r="U103">
        <v>-0.1479645735930229</v>
      </c>
      <c r="V103">
        <f t="shared" si="17"/>
        <v>-1.1767851298867611</v>
      </c>
    </row>
    <row r="104" spans="1:22" x14ac:dyDescent="0.2">
      <c r="A104">
        <f t="shared" si="18"/>
        <v>103</v>
      </c>
      <c r="B104" s="2">
        <f t="shared" si="19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6">
        <v>4.9000000000000004</v>
      </c>
      <c r="H104" s="5">
        <v>10</v>
      </c>
      <c r="I104" s="7" t="s">
        <v>20</v>
      </c>
      <c r="J104" s="8" t="s">
        <v>18</v>
      </c>
      <c r="K104">
        <v>283</v>
      </c>
      <c r="L104">
        <v>72.833909625461303</v>
      </c>
      <c r="M104">
        <v>73.517197928987102</v>
      </c>
      <c r="N104">
        <f t="shared" si="20"/>
        <v>0</v>
      </c>
      <c r="O104">
        <f t="shared" si="21"/>
        <v>1</v>
      </c>
      <c r="P104">
        <f t="shared" si="13"/>
        <v>0</v>
      </c>
      <c r="Q104">
        <f t="shared" si="14"/>
        <v>1</v>
      </c>
      <c r="R104">
        <f t="shared" si="15"/>
        <v>0</v>
      </c>
      <c r="S104">
        <v>0</v>
      </c>
      <c r="T104">
        <f t="shared" si="16"/>
        <v>1.0087557523326909</v>
      </c>
      <c r="U104">
        <v>3.8006198595968571E-2</v>
      </c>
      <c r="V104">
        <f t="shared" si="17"/>
        <v>-0.97074955373672234</v>
      </c>
    </row>
    <row r="105" spans="1:22" x14ac:dyDescent="0.2">
      <c r="A105">
        <f t="shared" si="18"/>
        <v>104</v>
      </c>
      <c r="B105" s="2">
        <f t="shared" si="19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6">
        <v>4.5</v>
      </c>
      <c r="H105" s="5">
        <v>10</v>
      </c>
      <c r="I105" s="7" t="s">
        <v>20</v>
      </c>
      <c r="J105" s="8" t="s">
        <v>13</v>
      </c>
      <c r="K105">
        <v>290</v>
      </c>
      <c r="L105">
        <v>169.5752754141601</v>
      </c>
      <c r="M105">
        <v>169.86987382048724</v>
      </c>
      <c r="N105">
        <f t="shared" si="20"/>
        <v>0</v>
      </c>
      <c r="O105">
        <f t="shared" si="21"/>
        <v>1</v>
      </c>
      <c r="P105">
        <f t="shared" si="13"/>
        <v>0</v>
      </c>
      <c r="Q105">
        <f t="shared" si="14"/>
        <v>1</v>
      </c>
      <c r="R105">
        <f t="shared" si="15"/>
        <v>0</v>
      </c>
      <c r="S105">
        <v>0</v>
      </c>
      <c r="T105">
        <f t="shared" si="16"/>
        <v>0.14390262830307463</v>
      </c>
      <c r="U105">
        <v>-0.83857479181297157</v>
      </c>
      <c r="V105">
        <f t="shared" si="17"/>
        <v>-0.98247742011604622</v>
      </c>
    </row>
    <row r="106" spans="1:22" x14ac:dyDescent="0.2">
      <c r="A106">
        <f t="shared" si="18"/>
        <v>105</v>
      </c>
      <c r="B106" s="2">
        <f t="shared" si="19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6">
        <v>4.3</v>
      </c>
      <c r="H106" s="5">
        <v>10</v>
      </c>
      <c r="I106" s="7" t="s">
        <v>20</v>
      </c>
      <c r="J106" s="8" t="s">
        <v>13</v>
      </c>
      <c r="K106">
        <v>290</v>
      </c>
      <c r="L106">
        <v>191.39436649976986</v>
      </c>
      <c r="M106">
        <v>191.65542916350748</v>
      </c>
      <c r="N106">
        <f t="shared" si="20"/>
        <v>0</v>
      </c>
      <c r="O106">
        <f t="shared" si="21"/>
        <v>1</v>
      </c>
      <c r="P106">
        <f t="shared" si="13"/>
        <v>0</v>
      </c>
      <c r="Q106">
        <f t="shared" si="14"/>
        <v>1</v>
      </c>
      <c r="R106">
        <f t="shared" si="15"/>
        <v>0</v>
      </c>
      <c r="S106">
        <v>0</v>
      </c>
      <c r="T106">
        <f t="shared" si="16"/>
        <v>-9.7834320594384599E-2</v>
      </c>
      <c r="U106">
        <v>-0.84880135388928024</v>
      </c>
      <c r="V106">
        <f t="shared" si="17"/>
        <v>-0.75096703329489567</v>
      </c>
    </row>
    <row r="107" spans="1:22" x14ac:dyDescent="0.2">
      <c r="A107">
        <f t="shared" si="18"/>
        <v>106</v>
      </c>
      <c r="B107" s="2">
        <f t="shared" si="19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6">
        <v>4.3</v>
      </c>
      <c r="H107" s="5">
        <v>10</v>
      </c>
      <c r="I107" s="7" t="s">
        <v>20</v>
      </c>
      <c r="J107" s="8" t="s">
        <v>14</v>
      </c>
      <c r="K107">
        <v>210</v>
      </c>
      <c r="L107">
        <v>62.335277789976317</v>
      </c>
      <c r="M107">
        <v>63.132296466654168</v>
      </c>
      <c r="N107">
        <f t="shared" si="20"/>
        <v>0</v>
      </c>
      <c r="O107">
        <f t="shared" si="21"/>
        <v>1</v>
      </c>
      <c r="P107">
        <f t="shared" si="13"/>
        <v>0</v>
      </c>
      <c r="Q107">
        <f t="shared" si="14"/>
        <v>1</v>
      </c>
      <c r="R107">
        <f t="shared" si="15"/>
        <v>0</v>
      </c>
      <c r="S107">
        <v>1</v>
      </c>
      <c r="T107">
        <f t="shared" si="16"/>
        <v>0.72540534653721456</v>
      </c>
      <c r="U107">
        <v>-0.43568380445887694</v>
      </c>
      <c r="V107">
        <f t="shared" si="17"/>
        <v>-1.1610891509960914</v>
      </c>
    </row>
    <row r="108" spans="1:22" x14ac:dyDescent="0.2">
      <c r="A108">
        <f t="shared" si="18"/>
        <v>107</v>
      </c>
      <c r="B108" s="2">
        <f t="shared" si="19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6">
        <v>4.7</v>
      </c>
      <c r="H108" s="5">
        <v>10</v>
      </c>
      <c r="I108" s="7" t="s">
        <v>20</v>
      </c>
      <c r="J108" s="8" t="s">
        <v>13</v>
      </c>
      <c r="K108">
        <v>290</v>
      </c>
      <c r="L108">
        <v>153.54034510521262</v>
      </c>
      <c r="M108">
        <v>153.8656478068701</v>
      </c>
      <c r="N108">
        <f t="shared" si="20"/>
        <v>0</v>
      </c>
      <c r="O108">
        <f t="shared" si="21"/>
        <v>1</v>
      </c>
      <c r="P108">
        <f t="shared" si="13"/>
        <v>0</v>
      </c>
      <c r="Q108">
        <f t="shared" si="14"/>
        <v>1</v>
      </c>
      <c r="R108">
        <f t="shared" si="15"/>
        <v>0</v>
      </c>
      <c r="S108">
        <v>0</v>
      </c>
      <c r="T108">
        <f t="shared" si="16"/>
        <v>0.36267496836649277</v>
      </c>
      <c r="U108">
        <v>-0.36655066825101629</v>
      </c>
      <c r="V108">
        <f t="shared" si="17"/>
        <v>-0.72922563661750905</v>
      </c>
    </row>
    <row r="109" spans="1:22" x14ac:dyDescent="0.2">
      <c r="A109">
        <f t="shared" si="18"/>
        <v>108</v>
      </c>
      <c r="B109" s="2">
        <f t="shared" si="19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6">
        <v>3.8</v>
      </c>
      <c r="H109" s="5">
        <v>20</v>
      </c>
      <c r="I109" s="7" t="s">
        <v>20</v>
      </c>
      <c r="J109" s="8" t="s">
        <v>18</v>
      </c>
      <c r="K109">
        <v>283</v>
      </c>
      <c r="L109">
        <v>73.704865393879203</v>
      </c>
      <c r="M109">
        <v>76.370198262999509</v>
      </c>
      <c r="N109">
        <f t="shared" si="20"/>
        <v>0</v>
      </c>
      <c r="O109">
        <f t="shared" si="21"/>
        <v>1</v>
      </c>
      <c r="P109">
        <f t="shared" si="13"/>
        <v>0</v>
      </c>
      <c r="Q109">
        <f t="shared" si="14"/>
        <v>1</v>
      </c>
      <c r="R109">
        <f t="shared" si="15"/>
        <v>0</v>
      </c>
      <c r="S109">
        <v>0</v>
      </c>
      <c r="T109">
        <f t="shared" si="16"/>
        <v>0.15972765531404892</v>
      </c>
      <c r="U109">
        <v>-1.1806220496133764</v>
      </c>
      <c r="V109">
        <f t="shared" si="17"/>
        <v>-1.3403497049274253</v>
      </c>
    </row>
    <row r="110" spans="1:22" x14ac:dyDescent="0.2">
      <c r="A110">
        <f t="shared" si="18"/>
        <v>109</v>
      </c>
      <c r="B110" s="2">
        <f t="shared" si="19"/>
        <v>59</v>
      </c>
      <c r="C110" s="27">
        <v>43419</v>
      </c>
      <c r="D110" s="28">
        <v>0.82395833333333324</v>
      </c>
      <c r="E110" s="29">
        <v>-8.2100000000000009</v>
      </c>
      <c r="F110" s="29">
        <v>116.33</v>
      </c>
      <c r="G110" s="6">
        <v>3.7</v>
      </c>
      <c r="H110" s="29">
        <v>5</v>
      </c>
      <c r="I110" s="2" t="s">
        <v>20</v>
      </c>
      <c r="J110" s="8" t="s">
        <v>15</v>
      </c>
      <c r="K110">
        <v>770</v>
      </c>
      <c r="L110">
        <v>62.043000961657171</v>
      </c>
      <c r="M110">
        <v>62.244148064924083</v>
      </c>
      <c r="N110">
        <f t="shared" si="20"/>
        <v>0</v>
      </c>
      <c r="O110">
        <f t="shared" si="21"/>
        <v>1</v>
      </c>
      <c r="P110">
        <f t="shared" si="13"/>
        <v>0</v>
      </c>
      <c r="Q110">
        <f t="shared" si="14"/>
        <v>1</v>
      </c>
      <c r="R110">
        <f t="shared" si="15"/>
        <v>0</v>
      </c>
      <c r="S110">
        <v>1</v>
      </c>
      <c r="T110">
        <f t="shared" si="16"/>
        <v>9.7708380410851017E-2</v>
      </c>
      <c r="U110">
        <v>-0.8224285515989157</v>
      </c>
      <c r="V110">
        <f t="shared" si="17"/>
        <v>-0.92013693200976676</v>
      </c>
    </row>
    <row r="111" spans="1:22" x14ac:dyDescent="0.2">
      <c r="A111">
        <f t="shared" si="18"/>
        <v>110</v>
      </c>
      <c r="B111" s="2">
        <f t="shared" si="19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6">
        <v>3.7</v>
      </c>
      <c r="H111" s="5">
        <v>11</v>
      </c>
      <c r="I111" s="7" t="s">
        <v>20</v>
      </c>
      <c r="J111" s="8" t="s">
        <v>14</v>
      </c>
      <c r="K111">
        <v>210</v>
      </c>
      <c r="L111">
        <v>23.835078470597363</v>
      </c>
      <c r="M111">
        <v>26.25092313994946</v>
      </c>
      <c r="N111">
        <f t="shared" si="20"/>
        <v>0</v>
      </c>
      <c r="O111">
        <f t="shared" si="21"/>
        <v>1</v>
      </c>
      <c r="P111">
        <f t="shared" si="13"/>
        <v>0</v>
      </c>
      <c r="Q111">
        <f t="shared" si="14"/>
        <v>1</v>
      </c>
      <c r="R111">
        <f t="shared" si="15"/>
        <v>0</v>
      </c>
      <c r="S111">
        <v>1</v>
      </c>
      <c r="T111">
        <f t="shared" si="16"/>
        <v>0.88098419401356942</v>
      </c>
      <c r="U111">
        <v>0.29839714867676598</v>
      </c>
      <c r="V111">
        <f t="shared" si="17"/>
        <v>-0.58258704533680339</v>
      </c>
    </row>
    <row r="112" spans="1:22" x14ac:dyDescent="0.2">
      <c r="A112">
        <f t="shared" si="18"/>
        <v>111</v>
      </c>
      <c r="B112" s="2">
        <f t="shared" si="19"/>
        <v>60</v>
      </c>
      <c r="C112" s="27">
        <v>43421</v>
      </c>
      <c r="D112" s="28">
        <v>0.52866898148148145</v>
      </c>
      <c r="E112" s="29">
        <v>-8.35</v>
      </c>
      <c r="F112" s="29">
        <v>116.09</v>
      </c>
      <c r="G112" s="6">
        <v>3.7</v>
      </c>
      <c r="H112" s="29">
        <v>11</v>
      </c>
      <c r="I112" s="2" t="s">
        <v>20</v>
      </c>
      <c r="J112" s="8" t="s">
        <v>15</v>
      </c>
      <c r="K112">
        <v>770</v>
      </c>
      <c r="L112">
        <v>50.769469002227638</v>
      </c>
      <c r="M112">
        <v>51.94746367983862</v>
      </c>
      <c r="N112">
        <f t="shared" si="20"/>
        <v>0</v>
      </c>
      <c r="O112">
        <f t="shared" si="21"/>
        <v>1</v>
      </c>
      <c r="P112">
        <f t="shared" si="13"/>
        <v>0</v>
      </c>
      <c r="Q112">
        <f t="shared" si="14"/>
        <v>1</v>
      </c>
      <c r="R112">
        <f t="shared" si="15"/>
        <v>0</v>
      </c>
      <c r="S112">
        <v>1</v>
      </c>
      <c r="T112">
        <f t="shared" si="16"/>
        <v>0.22849935216452427</v>
      </c>
      <c r="U112">
        <v>-0.12845477385166212</v>
      </c>
      <c r="V112">
        <f t="shared" si="17"/>
        <v>-0.35695412601618637</v>
      </c>
    </row>
    <row r="113" spans="1:22" x14ac:dyDescent="0.2">
      <c r="A113">
        <f t="shared" si="18"/>
        <v>112</v>
      </c>
      <c r="B113" s="2">
        <f t="shared" si="19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6">
        <v>5.0999999999999996</v>
      </c>
      <c r="H113" s="5">
        <v>10</v>
      </c>
      <c r="I113" s="7" t="s">
        <v>20</v>
      </c>
      <c r="J113" s="8" t="s">
        <v>18</v>
      </c>
      <c r="K113">
        <v>283</v>
      </c>
      <c r="L113">
        <v>76.326023434540531</v>
      </c>
      <c r="M113">
        <v>76.978320671017698</v>
      </c>
      <c r="N113">
        <f t="shared" si="20"/>
        <v>0</v>
      </c>
      <c r="O113">
        <f t="shared" si="21"/>
        <v>1</v>
      </c>
      <c r="P113">
        <f t="shared" si="13"/>
        <v>0</v>
      </c>
      <c r="Q113">
        <f t="shared" si="14"/>
        <v>1</v>
      </c>
      <c r="R113">
        <f t="shared" si="15"/>
        <v>0</v>
      </c>
      <c r="S113">
        <v>0</v>
      </c>
      <c r="T113">
        <f t="shared" si="16"/>
        <v>1.1099316752387283</v>
      </c>
      <c r="U113">
        <v>0.11360355005893341</v>
      </c>
      <c r="V113">
        <f t="shared" si="17"/>
        <v>-0.99632812517979485</v>
      </c>
    </row>
    <row r="114" spans="1:22" x14ac:dyDescent="0.2">
      <c r="A114">
        <f t="shared" si="18"/>
        <v>113</v>
      </c>
      <c r="B114" s="2">
        <f t="shared" si="19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6">
        <v>5.0999999999999996</v>
      </c>
      <c r="H114" s="5">
        <v>10</v>
      </c>
      <c r="I114" s="7" t="s">
        <v>20</v>
      </c>
      <c r="J114" s="8" t="s">
        <v>16</v>
      </c>
      <c r="K114">
        <v>1141</v>
      </c>
      <c r="L114">
        <v>45.913425587818345</v>
      </c>
      <c r="M114">
        <v>46.989814313403414</v>
      </c>
      <c r="N114">
        <f t="shared" si="20"/>
        <v>0</v>
      </c>
      <c r="O114">
        <f t="shared" si="21"/>
        <v>1</v>
      </c>
      <c r="P114">
        <f t="shared" si="13"/>
        <v>0</v>
      </c>
      <c r="Q114">
        <f t="shared" si="14"/>
        <v>1</v>
      </c>
      <c r="R114">
        <f t="shared" si="15"/>
        <v>0</v>
      </c>
      <c r="S114">
        <v>0</v>
      </c>
      <c r="T114">
        <f t="shared" si="16"/>
        <v>1.2574889560477933</v>
      </c>
      <c r="U114">
        <v>1.1325463828229447</v>
      </c>
      <c r="V114">
        <f t="shared" si="17"/>
        <v>-0.12494257322484859</v>
      </c>
    </row>
    <row r="115" spans="1:22" x14ac:dyDescent="0.2">
      <c r="A115" s="11">
        <f t="shared" si="18"/>
        <v>114</v>
      </c>
      <c r="B115" s="12">
        <f t="shared" si="19"/>
        <v>62</v>
      </c>
      <c r="C115" s="13">
        <v>43508</v>
      </c>
      <c r="D115" s="14">
        <v>0.71231481481481485</v>
      </c>
      <c r="E115" s="15">
        <v>-8.39</v>
      </c>
      <c r="F115" s="15">
        <v>116.84</v>
      </c>
      <c r="G115" s="16">
        <v>4.5</v>
      </c>
      <c r="H115" s="15">
        <v>10</v>
      </c>
      <c r="I115" s="17" t="s">
        <v>20</v>
      </c>
      <c r="J115" s="18" t="s">
        <v>16</v>
      </c>
      <c r="K115">
        <v>1141</v>
      </c>
      <c r="L115">
        <v>38.954393040170586</v>
      </c>
      <c r="M115">
        <v>40.217468059639089</v>
      </c>
      <c r="N115">
        <f t="shared" si="20"/>
        <v>0</v>
      </c>
      <c r="O115">
        <f t="shared" si="21"/>
        <v>1</v>
      </c>
      <c r="P115">
        <f t="shared" si="13"/>
        <v>0</v>
      </c>
      <c r="Q115">
        <f t="shared" si="14"/>
        <v>1</v>
      </c>
      <c r="R115">
        <f t="shared" si="15"/>
        <v>0</v>
      </c>
      <c r="S115">
        <v>0</v>
      </c>
      <c r="T115">
        <f t="shared" si="16"/>
        <v>0.96479666714370804</v>
      </c>
      <c r="U115">
        <v>0.90497313129519785</v>
      </c>
      <c r="V115">
        <f t="shared" si="17"/>
        <v>-5.982353584851019E-2</v>
      </c>
    </row>
    <row r="116" spans="1:22" x14ac:dyDescent="0.2">
      <c r="A116" s="11">
        <f t="shared" si="18"/>
        <v>115</v>
      </c>
      <c r="B116" s="12">
        <f t="shared" si="19"/>
        <v>63</v>
      </c>
      <c r="C116" s="37">
        <v>43541</v>
      </c>
      <c r="D116" s="14">
        <v>0.58848379629629632</v>
      </c>
      <c r="E116" s="15">
        <v>-8.4700000000000006</v>
      </c>
      <c r="F116" s="15">
        <v>116.55</v>
      </c>
      <c r="G116" s="16">
        <v>5.5</v>
      </c>
      <c r="H116" s="15">
        <v>19</v>
      </c>
      <c r="I116" s="12" t="s">
        <v>21</v>
      </c>
      <c r="J116" s="18" t="s">
        <v>15</v>
      </c>
      <c r="K116">
        <v>770</v>
      </c>
      <c r="L116">
        <v>44.602245905875868</v>
      </c>
      <c r="M116">
        <v>48.480515053454425</v>
      </c>
      <c r="N116">
        <f t="shared" si="20"/>
        <v>1</v>
      </c>
      <c r="O116">
        <f t="shared" si="21"/>
        <v>0</v>
      </c>
      <c r="P116">
        <f t="shared" si="13"/>
        <v>0</v>
      </c>
      <c r="Q116">
        <f t="shared" si="14"/>
        <v>1</v>
      </c>
      <c r="R116">
        <f t="shared" si="15"/>
        <v>0</v>
      </c>
      <c r="S116">
        <v>1</v>
      </c>
      <c r="T116">
        <f t="shared" si="16"/>
        <v>1.3680051684412453</v>
      </c>
      <c r="U116">
        <v>0.90231983339429145</v>
      </c>
      <c r="V116">
        <f t="shared" si="17"/>
        <v>-0.46568533504695386</v>
      </c>
    </row>
    <row r="117" spans="1:22" x14ac:dyDescent="0.2">
      <c r="A117" s="11">
        <f t="shared" si="18"/>
        <v>116</v>
      </c>
      <c r="B117" s="12">
        <f t="shared" si="19"/>
        <v>63</v>
      </c>
      <c r="C117" s="13">
        <v>43541</v>
      </c>
      <c r="D117" s="14">
        <v>0.58848379629629632</v>
      </c>
      <c r="E117" s="15">
        <v>-8.4700000000000006</v>
      </c>
      <c r="F117" s="15">
        <v>116.55</v>
      </c>
      <c r="G117" s="16">
        <v>5.5</v>
      </c>
      <c r="H117" s="15">
        <v>19</v>
      </c>
      <c r="I117" s="12" t="s">
        <v>21</v>
      </c>
      <c r="J117" s="18" t="s">
        <v>16</v>
      </c>
      <c r="K117">
        <v>1141</v>
      </c>
      <c r="L117">
        <v>47.410108769841003</v>
      </c>
      <c r="M117">
        <v>51.075614666572093</v>
      </c>
      <c r="N117">
        <f t="shared" si="20"/>
        <v>1</v>
      </c>
      <c r="O117">
        <f t="shared" si="21"/>
        <v>0</v>
      </c>
      <c r="P117">
        <f t="shared" si="13"/>
        <v>0</v>
      </c>
      <c r="Q117">
        <f t="shared" si="14"/>
        <v>1</v>
      </c>
      <c r="R117">
        <f t="shared" si="15"/>
        <v>0</v>
      </c>
      <c r="S117">
        <v>1</v>
      </c>
      <c r="T117">
        <f t="shared" si="16"/>
        <v>1.2846924523233108</v>
      </c>
      <c r="U117">
        <v>1.3774913685028818</v>
      </c>
      <c r="V117">
        <f t="shared" si="17"/>
        <v>9.2798916179571034E-2</v>
      </c>
    </row>
    <row r="118" spans="1:22" x14ac:dyDescent="0.2">
      <c r="A118" s="11">
        <f t="shared" si="18"/>
        <v>117</v>
      </c>
      <c r="B118" s="12">
        <f t="shared" si="19"/>
        <v>64</v>
      </c>
      <c r="C118" s="37">
        <v>43541</v>
      </c>
      <c r="D118" s="14">
        <v>0.58981481481481479</v>
      </c>
      <c r="E118" s="15">
        <v>-8.51</v>
      </c>
      <c r="F118" s="15">
        <v>116.49</v>
      </c>
      <c r="G118" s="16">
        <v>5.0999999999999996</v>
      </c>
      <c r="H118" s="15">
        <v>11</v>
      </c>
      <c r="I118" s="12" t="s">
        <v>21</v>
      </c>
      <c r="J118" s="18" t="s">
        <v>15</v>
      </c>
      <c r="K118">
        <v>770</v>
      </c>
      <c r="L118">
        <v>36.872886592294471</v>
      </c>
      <c r="M118">
        <v>38.478692358865437</v>
      </c>
      <c r="N118">
        <f t="shared" si="20"/>
        <v>1</v>
      </c>
      <c r="O118">
        <f t="shared" si="21"/>
        <v>0</v>
      </c>
      <c r="P118">
        <f t="shared" si="13"/>
        <v>0</v>
      </c>
      <c r="Q118">
        <f t="shared" si="14"/>
        <v>1</v>
      </c>
      <c r="R118">
        <f t="shared" si="15"/>
        <v>0</v>
      </c>
      <c r="S118">
        <v>1</v>
      </c>
      <c r="T118">
        <f t="shared" si="16"/>
        <v>1.2798451692361315</v>
      </c>
      <c r="U118">
        <v>0.72873971383854863</v>
      </c>
      <c r="V118">
        <f t="shared" si="17"/>
        <v>-0.55110545539758282</v>
      </c>
    </row>
    <row r="119" spans="1:22" x14ac:dyDescent="0.2">
      <c r="A119">
        <f t="shared" si="18"/>
        <v>118</v>
      </c>
      <c r="B119" s="2">
        <f t="shared" si="19"/>
        <v>65</v>
      </c>
      <c r="C119" s="34">
        <v>43571</v>
      </c>
      <c r="D119" s="35">
        <v>0.55440972223004792</v>
      </c>
      <c r="E119" s="36">
        <v>-8.2200000000000006</v>
      </c>
      <c r="F119" s="36">
        <v>116.76</v>
      </c>
      <c r="G119" s="6">
        <v>4.5999999999999996</v>
      </c>
      <c r="H119" s="36">
        <v>16</v>
      </c>
      <c r="I119" s="7" t="s">
        <v>20</v>
      </c>
      <c r="J119" s="8" t="s">
        <v>12</v>
      </c>
      <c r="K119">
        <v>386</v>
      </c>
      <c r="L119">
        <v>217.7283448303655</v>
      </c>
      <c r="M119">
        <v>218.31544183261647</v>
      </c>
      <c r="N119">
        <f t="shared" si="20"/>
        <v>0</v>
      </c>
      <c r="O119">
        <f t="shared" si="21"/>
        <v>1</v>
      </c>
      <c r="P119">
        <f t="shared" si="13"/>
        <v>0</v>
      </c>
      <c r="Q119">
        <f t="shared" si="14"/>
        <v>1</v>
      </c>
      <c r="R119">
        <f t="shared" si="15"/>
        <v>0</v>
      </c>
      <c r="S119">
        <v>0</v>
      </c>
      <c r="T119">
        <f t="shared" si="16"/>
        <v>8.0105777120975524E-3</v>
      </c>
      <c r="U119">
        <v>-0.51766514264995289</v>
      </c>
      <c r="V119">
        <f t="shared" si="17"/>
        <v>-0.52567572036205046</v>
      </c>
    </row>
    <row r="120" spans="1:22" x14ac:dyDescent="0.2">
      <c r="A120">
        <f t="shared" si="18"/>
        <v>119</v>
      </c>
      <c r="B120" s="2">
        <f t="shared" si="19"/>
        <v>66</v>
      </c>
      <c r="C120" s="34">
        <v>43579</v>
      </c>
      <c r="D120" s="35">
        <v>0.76734953703999054</v>
      </c>
      <c r="E120" s="36">
        <v>-8.1</v>
      </c>
      <c r="F120" s="36">
        <v>117.71</v>
      </c>
      <c r="G120" s="6">
        <v>3.8</v>
      </c>
      <c r="H120" s="36">
        <v>10</v>
      </c>
      <c r="I120" s="7" t="s">
        <v>20</v>
      </c>
      <c r="J120" s="8" t="s">
        <v>12</v>
      </c>
      <c r="K120">
        <v>386</v>
      </c>
      <c r="L120">
        <v>119.77550230598494</v>
      </c>
      <c r="M120">
        <v>120.19222500915359</v>
      </c>
      <c r="N120">
        <f t="shared" si="20"/>
        <v>0</v>
      </c>
      <c r="O120">
        <f t="shared" si="21"/>
        <v>1</v>
      </c>
      <c r="P120">
        <f t="shared" si="13"/>
        <v>0</v>
      </c>
      <c r="Q120">
        <f t="shared" si="14"/>
        <v>1</v>
      </c>
      <c r="R120">
        <f t="shared" si="15"/>
        <v>0</v>
      </c>
      <c r="S120">
        <v>1</v>
      </c>
      <c r="T120">
        <f t="shared" si="16"/>
        <v>-0.20891943692519083</v>
      </c>
      <c r="U120">
        <v>-0.61548359847928469</v>
      </c>
      <c r="V120">
        <f t="shared" si="17"/>
        <v>-0.40656416155409386</v>
      </c>
    </row>
    <row r="121" spans="1:22" x14ac:dyDescent="0.2">
      <c r="A121">
        <f t="shared" si="18"/>
        <v>120</v>
      </c>
      <c r="B121" s="2">
        <f t="shared" si="19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6">
        <v>3.8</v>
      </c>
      <c r="H121" s="5">
        <v>10</v>
      </c>
      <c r="I121" s="7" t="s">
        <v>20</v>
      </c>
      <c r="J121" s="8" t="s">
        <v>16</v>
      </c>
      <c r="K121">
        <v>1141</v>
      </c>
      <c r="L121">
        <v>116.1383311956387</v>
      </c>
      <c r="M121">
        <v>116.568057258015</v>
      </c>
      <c r="N121">
        <f t="shared" si="20"/>
        <v>0</v>
      </c>
      <c r="O121">
        <f t="shared" si="21"/>
        <v>1</v>
      </c>
      <c r="P121">
        <f t="shared" si="13"/>
        <v>0</v>
      </c>
      <c r="Q121">
        <f t="shared" si="14"/>
        <v>1</v>
      </c>
      <c r="R121">
        <f t="shared" si="15"/>
        <v>0</v>
      </c>
      <c r="S121">
        <v>0</v>
      </c>
      <c r="T121">
        <f t="shared" si="16"/>
        <v>-0.32464296821786898</v>
      </c>
      <c r="U121">
        <v>-0.47983650221362395</v>
      </c>
      <c r="V121">
        <f t="shared" si="17"/>
        <v>-0.15519353399575497</v>
      </c>
    </row>
    <row r="122" spans="1:22" x14ac:dyDescent="0.2">
      <c r="A122">
        <f t="shared" si="18"/>
        <v>121</v>
      </c>
      <c r="B122" s="2">
        <f t="shared" si="19"/>
        <v>67</v>
      </c>
      <c r="C122" s="34">
        <v>43699</v>
      </c>
      <c r="D122" s="35">
        <v>0.37410879629629629</v>
      </c>
      <c r="E122" s="36">
        <v>-7.92</v>
      </c>
      <c r="F122" s="36">
        <v>117.15</v>
      </c>
      <c r="G122" s="6">
        <v>4.7</v>
      </c>
      <c r="H122" s="36">
        <v>10</v>
      </c>
      <c r="I122" s="7" t="s">
        <v>20</v>
      </c>
      <c r="J122" s="8" t="s">
        <v>12</v>
      </c>
      <c r="K122">
        <v>386</v>
      </c>
      <c r="L122">
        <v>184.86066146795699</v>
      </c>
      <c r="M122">
        <v>185.13093787471232</v>
      </c>
      <c r="N122">
        <f t="shared" si="20"/>
        <v>0</v>
      </c>
      <c r="O122">
        <f t="shared" si="21"/>
        <v>1</v>
      </c>
      <c r="P122">
        <f t="shared" si="13"/>
        <v>0</v>
      </c>
      <c r="Q122">
        <f t="shared" si="14"/>
        <v>1</v>
      </c>
      <c r="R122">
        <f t="shared" si="15"/>
        <v>0</v>
      </c>
      <c r="S122">
        <v>1</v>
      </c>
      <c r="T122">
        <f t="shared" si="16"/>
        <v>0.19829711853402227</v>
      </c>
      <c r="U122">
        <v>-0.33992048358266874</v>
      </c>
      <c r="V122">
        <f t="shared" si="17"/>
        <v>-0.53821760211669101</v>
      </c>
    </row>
    <row r="123" spans="1:22" x14ac:dyDescent="0.2">
      <c r="A123">
        <f t="shared" si="18"/>
        <v>122</v>
      </c>
      <c r="B123" s="2">
        <f t="shared" si="19"/>
        <v>67</v>
      </c>
      <c r="C123" s="34">
        <v>43699</v>
      </c>
      <c r="D123" s="35">
        <v>0.37410879629629629</v>
      </c>
      <c r="E123" s="36">
        <v>-7.92</v>
      </c>
      <c r="F123" s="36">
        <v>117.15</v>
      </c>
      <c r="G123" s="6">
        <v>4.7</v>
      </c>
      <c r="H123" s="36">
        <v>10</v>
      </c>
      <c r="I123" s="2" t="s">
        <v>20</v>
      </c>
      <c r="J123" s="8" t="s">
        <v>15</v>
      </c>
      <c r="K123">
        <v>770</v>
      </c>
      <c r="L123">
        <v>134.91677794532623</v>
      </c>
      <c r="M123">
        <v>135.28686917490725</v>
      </c>
      <c r="N123">
        <f t="shared" si="20"/>
        <v>0</v>
      </c>
      <c r="O123">
        <f t="shared" si="21"/>
        <v>1</v>
      </c>
      <c r="P123">
        <f t="shared" si="13"/>
        <v>0</v>
      </c>
      <c r="Q123">
        <f t="shared" si="14"/>
        <v>1</v>
      </c>
      <c r="R123">
        <f t="shared" si="15"/>
        <v>0</v>
      </c>
      <c r="S123">
        <v>1</v>
      </c>
      <c r="T123">
        <f t="shared" si="16"/>
        <v>0.32699592052096982</v>
      </c>
      <c r="U123">
        <v>-0.60967938048409109</v>
      </c>
      <c r="V123">
        <f t="shared" si="17"/>
        <v>-0.93667530100506091</v>
      </c>
    </row>
    <row r="124" spans="1:22" x14ac:dyDescent="0.2">
      <c r="A124">
        <f t="shared" si="18"/>
        <v>123</v>
      </c>
      <c r="B124" s="2">
        <f t="shared" si="19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6">
        <v>4.7</v>
      </c>
      <c r="H124" s="5">
        <v>10</v>
      </c>
      <c r="I124" s="7" t="s">
        <v>20</v>
      </c>
      <c r="J124" s="8" t="s">
        <v>18</v>
      </c>
      <c r="K124">
        <v>283</v>
      </c>
      <c r="L124">
        <v>69.541234354373785</v>
      </c>
      <c r="M124">
        <v>70.25655325683104</v>
      </c>
      <c r="N124">
        <f t="shared" si="20"/>
        <v>0</v>
      </c>
      <c r="O124">
        <f t="shared" si="21"/>
        <v>1</v>
      </c>
      <c r="P124">
        <f t="shared" si="13"/>
        <v>0</v>
      </c>
      <c r="Q124">
        <f t="shared" si="14"/>
        <v>1</v>
      </c>
      <c r="R124">
        <f t="shared" si="15"/>
        <v>0</v>
      </c>
      <c r="S124">
        <v>0</v>
      </c>
      <c r="T124">
        <f t="shared" si="16"/>
        <v>0.90251901780715094</v>
      </c>
      <c r="U124">
        <v>-0.14882611338070967</v>
      </c>
      <c r="V124">
        <f t="shared" si="17"/>
        <v>-1.0513451311878605</v>
      </c>
    </row>
    <row r="125" spans="1:22" x14ac:dyDescent="0.2">
      <c r="A125">
        <f t="shared" si="18"/>
        <v>124</v>
      </c>
      <c r="B125" s="2">
        <f t="shared" si="19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6">
        <v>4.7</v>
      </c>
      <c r="H125" s="5">
        <v>10</v>
      </c>
      <c r="I125" s="7" t="s">
        <v>20</v>
      </c>
      <c r="J125" s="8" t="s">
        <v>16</v>
      </c>
      <c r="K125">
        <v>1141</v>
      </c>
      <c r="L125">
        <v>95.643589621406889</v>
      </c>
      <c r="M125">
        <v>96.164942862085098</v>
      </c>
      <c r="N125">
        <f t="shared" si="20"/>
        <v>0</v>
      </c>
      <c r="O125">
        <f t="shared" si="21"/>
        <v>1</v>
      </c>
      <c r="P125">
        <f t="shared" si="13"/>
        <v>0</v>
      </c>
      <c r="Q125">
        <f t="shared" si="14"/>
        <v>1</v>
      </c>
      <c r="R125">
        <f t="shared" si="15"/>
        <v>0</v>
      </c>
      <c r="S125">
        <v>0</v>
      </c>
      <c r="T125">
        <f t="shared" si="16"/>
        <v>0.51100270151244342</v>
      </c>
      <c r="U125">
        <v>0.83283036610836825</v>
      </c>
      <c r="V125">
        <f t="shared" si="17"/>
        <v>0.32182766459592482</v>
      </c>
    </row>
    <row r="126" spans="1:22" x14ac:dyDescent="0.2">
      <c r="A126">
        <f t="shared" si="18"/>
        <v>125</v>
      </c>
      <c r="B126" s="2">
        <f t="shared" si="19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6">
        <v>4.5999999999999996</v>
      </c>
      <c r="H126" s="5">
        <v>10</v>
      </c>
      <c r="I126" s="7" t="s">
        <v>20</v>
      </c>
      <c r="J126" s="8" t="s">
        <v>13</v>
      </c>
      <c r="K126">
        <v>290</v>
      </c>
      <c r="L126">
        <v>96.937892582870234</v>
      </c>
      <c r="M126">
        <v>97.452321770228167</v>
      </c>
      <c r="N126">
        <f t="shared" si="20"/>
        <v>0</v>
      </c>
      <c r="O126">
        <f t="shared" si="21"/>
        <v>1</v>
      </c>
      <c r="P126">
        <f t="shared" si="13"/>
        <v>0</v>
      </c>
      <c r="Q126">
        <f t="shared" si="14"/>
        <v>1</v>
      </c>
      <c r="R126">
        <f t="shared" si="15"/>
        <v>0</v>
      </c>
      <c r="S126">
        <v>1</v>
      </c>
      <c r="T126">
        <f t="shared" si="16"/>
        <v>0.6044491117624089</v>
      </c>
      <c r="U126">
        <v>-2.3612061125099545E-2</v>
      </c>
      <c r="V126">
        <f t="shared" si="17"/>
        <v>-0.6280611728875084</v>
      </c>
    </row>
    <row r="127" spans="1:22" x14ac:dyDescent="0.2">
      <c r="A127">
        <f t="shared" si="18"/>
        <v>126</v>
      </c>
      <c r="B127" s="2">
        <f t="shared" si="19"/>
        <v>68</v>
      </c>
      <c r="C127" s="38">
        <v>43720</v>
      </c>
      <c r="D127" s="39">
        <v>0.27743055555555557</v>
      </c>
      <c r="E127" s="40">
        <v>-7.89</v>
      </c>
      <c r="F127" s="40">
        <v>117.69</v>
      </c>
      <c r="G127" s="6">
        <v>4.5999999999999996</v>
      </c>
      <c r="H127" s="40">
        <v>10</v>
      </c>
      <c r="I127" s="2" t="s">
        <v>20</v>
      </c>
      <c r="J127" s="8" t="s">
        <v>15</v>
      </c>
      <c r="K127">
        <v>770</v>
      </c>
      <c r="L127">
        <v>184.53152886292455</v>
      </c>
      <c r="M127">
        <v>184.80228663219606</v>
      </c>
      <c r="N127">
        <f t="shared" si="20"/>
        <v>0</v>
      </c>
      <c r="O127">
        <f t="shared" si="21"/>
        <v>1</v>
      </c>
      <c r="P127">
        <f t="shared" si="13"/>
        <v>0</v>
      </c>
      <c r="Q127">
        <f t="shared" si="14"/>
        <v>1</v>
      </c>
      <c r="R127">
        <f t="shared" si="15"/>
        <v>0</v>
      </c>
      <c r="S127">
        <v>0</v>
      </c>
      <c r="T127">
        <f t="shared" si="16"/>
        <v>3.6673277889023428E-2</v>
      </c>
      <c r="U127">
        <v>-1.0000670775889873</v>
      </c>
      <c r="V127">
        <f t="shared" si="17"/>
        <v>-1.0367403554780108</v>
      </c>
    </row>
    <row r="128" spans="1:22" x14ac:dyDescent="0.2">
      <c r="A128">
        <f t="shared" si="18"/>
        <v>127</v>
      </c>
      <c r="B128" s="2">
        <f t="shared" si="19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6">
        <v>4.5999999999999996</v>
      </c>
      <c r="H128" s="5">
        <v>10</v>
      </c>
      <c r="I128" s="7" t="s">
        <v>20</v>
      </c>
      <c r="J128" s="8" t="s">
        <v>18</v>
      </c>
      <c r="K128">
        <v>283</v>
      </c>
      <c r="L128">
        <v>73.219283176838076</v>
      </c>
      <c r="M128">
        <v>73.899008308163403</v>
      </c>
      <c r="N128">
        <f t="shared" si="20"/>
        <v>0</v>
      </c>
      <c r="O128">
        <f t="shared" si="21"/>
        <v>1</v>
      </c>
      <c r="P128">
        <f t="shared" si="13"/>
        <v>0</v>
      </c>
      <c r="Q128">
        <f t="shared" si="14"/>
        <v>1</v>
      </c>
      <c r="R128">
        <f t="shared" si="15"/>
        <v>0</v>
      </c>
      <c r="S128">
        <v>0</v>
      </c>
      <c r="T128">
        <f t="shared" si="16"/>
        <v>0.79753989208084275</v>
      </c>
      <c r="U128">
        <v>-0.37787644825382199</v>
      </c>
      <c r="V128">
        <f t="shared" si="17"/>
        <v>-1.1754163403346647</v>
      </c>
    </row>
    <row r="129" spans="1:22" x14ac:dyDescent="0.2">
      <c r="A129">
        <f t="shared" si="18"/>
        <v>128</v>
      </c>
      <c r="B129" s="2">
        <f t="shared" si="19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6">
        <v>4.5999999999999996</v>
      </c>
      <c r="H129" s="5">
        <v>10</v>
      </c>
      <c r="I129" s="7" t="s">
        <v>20</v>
      </c>
      <c r="J129" s="8" t="s">
        <v>16</v>
      </c>
      <c r="K129">
        <v>1141</v>
      </c>
      <c r="L129">
        <v>130.14062651273792</v>
      </c>
      <c r="M129">
        <v>130.52426084497833</v>
      </c>
      <c r="N129">
        <f t="shared" si="20"/>
        <v>0</v>
      </c>
      <c r="O129">
        <f t="shared" si="21"/>
        <v>1</v>
      </c>
      <c r="P129">
        <f t="shared" si="13"/>
        <v>0</v>
      </c>
      <c r="Q129">
        <f t="shared" si="14"/>
        <v>1</v>
      </c>
      <c r="R129">
        <f t="shared" si="15"/>
        <v>0</v>
      </c>
      <c r="S129">
        <v>0</v>
      </c>
      <c r="T129">
        <f t="shared" si="16"/>
        <v>0.22828668023881729</v>
      </c>
      <c r="U129">
        <v>5.5124276579501752E-2</v>
      </c>
      <c r="V129">
        <f t="shared" si="17"/>
        <v>-0.17316240365931554</v>
      </c>
    </row>
    <row r="130" spans="1:22" x14ac:dyDescent="0.2">
      <c r="A130">
        <f t="shared" si="18"/>
        <v>129</v>
      </c>
      <c r="B130" s="2">
        <f t="shared" si="19"/>
        <v>69</v>
      </c>
      <c r="C130" s="34">
        <v>43836</v>
      </c>
      <c r="D130" s="35">
        <v>0.81380787037037028</v>
      </c>
      <c r="E130" s="36">
        <v>-8.17</v>
      </c>
      <c r="F130" s="36">
        <v>118.52</v>
      </c>
      <c r="G130" s="6">
        <v>4.4000000000000004</v>
      </c>
      <c r="H130" s="36">
        <v>14</v>
      </c>
      <c r="I130" s="7" t="s">
        <v>20</v>
      </c>
      <c r="J130" s="8" t="s">
        <v>12</v>
      </c>
      <c r="K130">
        <v>386</v>
      </c>
      <c r="L130">
        <v>45.650378932391213</v>
      </c>
      <c r="M130">
        <v>47.748896287463104</v>
      </c>
      <c r="N130">
        <f t="shared" ref="N130:N158" si="22">IF(I130="normal",1,0)</f>
        <v>0</v>
      </c>
      <c r="O130">
        <f t="shared" ref="O130:O158" si="23">IF(I130="reverse",1,0)</f>
        <v>1</v>
      </c>
      <c r="P130">
        <f t="shared" si="13"/>
        <v>0</v>
      </c>
      <c r="Q130">
        <f t="shared" si="14"/>
        <v>1</v>
      </c>
      <c r="R130">
        <f t="shared" si="15"/>
        <v>0</v>
      </c>
      <c r="S130">
        <v>0</v>
      </c>
      <c r="T130">
        <f t="shared" si="16"/>
        <v>0.91456369792486281</v>
      </c>
      <c r="U130">
        <v>-0.15000378682100685</v>
      </c>
      <c r="V130">
        <f t="shared" si="17"/>
        <v>-1.0645674847458697</v>
      </c>
    </row>
    <row r="131" spans="1:22" x14ac:dyDescent="0.2">
      <c r="A131">
        <f t="shared" si="18"/>
        <v>130</v>
      </c>
      <c r="B131" s="2">
        <f t="shared" si="19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6">
        <v>4.4000000000000004</v>
      </c>
      <c r="H131" s="5">
        <v>14</v>
      </c>
      <c r="I131" s="7" t="s">
        <v>20</v>
      </c>
      <c r="J131" s="8" t="s">
        <v>13</v>
      </c>
      <c r="K131">
        <v>290</v>
      </c>
      <c r="L131">
        <v>43.516837554768216</v>
      </c>
      <c r="M131">
        <v>45.713402310133134</v>
      </c>
      <c r="N131">
        <f t="shared" si="22"/>
        <v>0</v>
      </c>
      <c r="O131">
        <f t="shared" si="23"/>
        <v>1</v>
      </c>
      <c r="P131">
        <f t="shared" ref="P131:P158" si="24">IF(I131="strike slip",1,0)</f>
        <v>0</v>
      </c>
      <c r="Q131">
        <f t="shared" ref="Q131:Q158" si="25">IF(G131&gt;$X$3,0,1)</f>
        <v>1</v>
      </c>
      <c r="R131">
        <f t="shared" ref="R131:R158" si="26">IF(G131&gt;$X$3,1,0)</f>
        <v>0</v>
      </c>
      <c r="S131">
        <v>0</v>
      </c>
      <c r="T131">
        <f t="shared" ref="T131:T158" si="27">$X$6+($X$7+$X$8*(G131-$X$2))*LOG10((SQRT((M131^2)+($X$9^2))/$X$4))-$X$10*(SQRT((M131^2)+($X$9^2))-$X$4)+Q131*$X$11*(G131-$X$3)+Q131*$X$12*((G131-$X$3)^2)+R131*$X$13*(G131-$X$3)+$X$14*LOG10(K131/$X$5)+$X$15*N131+$X$16*O131+$X$17*P131</f>
        <v>0.98092286793849826</v>
      </c>
      <c r="U131">
        <v>0.66399258126997407</v>
      </c>
      <c r="V131">
        <f t="shared" ref="V131:V158" si="28">U131-T131</f>
        <v>-0.31693028666852419</v>
      </c>
    </row>
    <row r="132" spans="1:22" x14ac:dyDescent="0.2">
      <c r="A132">
        <f t="shared" ref="A132:A158" si="29">A131+1</f>
        <v>131</v>
      </c>
      <c r="B132" s="2">
        <f t="shared" si="19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6">
        <v>4.4000000000000004</v>
      </c>
      <c r="H132" s="5">
        <v>14</v>
      </c>
      <c r="I132" s="7" t="s">
        <v>20</v>
      </c>
      <c r="J132" s="8" t="s">
        <v>18</v>
      </c>
      <c r="K132">
        <v>283</v>
      </c>
      <c r="L132">
        <v>127.96159236009052</v>
      </c>
      <c r="M132">
        <v>128.72516894271291</v>
      </c>
      <c r="N132">
        <f t="shared" si="22"/>
        <v>0</v>
      </c>
      <c r="O132">
        <f t="shared" si="23"/>
        <v>1</v>
      </c>
      <c r="P132">
        <f t="shared" si="24"/>
        <v>0</v>
      </c>
      <c r="Q132">
        <f t="shared" si="25"/>
        <v>1</v>
      </c>
      <c r="R132">
        <f t="shared" si="26"/>
        <v>0</v>
      </c>
      <c r="S132">
        <v>1</v>
      </c>
      <c r="T132">
        <f t="shared" si="27"/>
        <v>0.26492944636037341</v>
      </c>
      <c r="U132">
        <v>-0.78626173791935827</v>
      </c>
      <c r="V132">
        <f t="shared" si="28"/>
        <v>-1.0511911842797317</v>
      </c>
    </row>
    <row r="133" spans="1:22" x14ac:dyDescent="0.2">
      <c r="A133" s="11">
        <f t="shared" si="29"/>
        <v>132</v>
      </c>
      <c r="B133" s="12">
        <f t="shared" si="19"/>
        <v>69</v>
      </c>
      <c r="C133" s="13">
        <v>43836</v>
      </c>
      <c r="D133" s="14">
        <v>0.81380787037037028</v>
      </c>
      <c r="E133" s="15">
        <v>-8.17</v>
      </c>
      <c r="F133" s="15">
        <v>118.52</v>
      </c>
      <c r="G133" s="16">
        <v>4.4000000000000004</v>
      </c>
      <c r="H133" s="15">
        <v>14</v>
      </c>
      <c r="I133" s="17" t="s">
        <v>20</v>
      </c>
      <c r="J133" s="18" t="s">
        <v>16</v>
      </c>
      <c r="K133">
        <v>1141</v>
      </c>
      <c r="L133">
        <v>192.61618215084559</v>
      </c>
      <c r="M133">
        <v>193.12429579513741</v>
      </c>
      <c r="N133">
        <f t="shared" si="22"/>
        <v>0</v>
      </c>
      <c r="O133">
        <f t="shared" si="23"/>
        <v>1</v>
      </c>
      <c r="P133">
        <f t="shared" si="24"/>
        <v>0</v>
      </c>
      <c r="Q133">
        <f t="shared" si="25"/>
        <v>1</v>
      </c>
      <c r="R133">
        <f t="shared" si="26"/>
        <v>0</v>
      </c>
      <c r="S133">
        <v>0</v>
      </c>
      <c r="T133">
        <f t="shared" si="27"/>
        <v>-0.19850931588826587</v>
      </c>
      <c r="U133">
        <v>-0.81407361768596942</v>
      </c>
      <c r="V133">
        <f t="shared" si="28"/>
        <v>-0.61556430179770349</v>
      </c>
    </row>
    <row r="134" spans="1:22" x14ac:dyDescent="0.2">
      <c r="A134">
        <f t="shared" si="29"/>
        <v>133</v>
      </c>
      <c r="B134" s="2">
        <f t="shared" si="19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6">
        <v>4.4000000000000004</v>
      </c>
      <c r="H134" s="5">
        <v>26</v>
      </c>
      <c r="I134" s="7" t="s">
        <v>20</v>
      </c>
      <c r="J134" s="8" t="s">
        <v>13</v>
      </c>
      <c r="K134">
        <v>290</v>
      </c>
      <c r="L134">
        <v>93.582452874927512</v>
      </c>
      <c r="M134">
        <v>97.127109944072913</v>
      </c>
      <c r="N134">
        <f t="shared" si="22"/>
        <v>0</v>
      </c>
      <c r="O134">
        <f t="shared" si="23"/>
        <v>1</v>
      </c>
      <c r="P134">
        <f t="shared" si="24"/>
        <v>0</v>
      </c>
      <c r="Q134">
        <f t="shared" si="25"/>
        <v>1</v>
      </c>
      <c r="R134">
        <f t="shared" si="26"/>
        <v>0</v>
      </c>
      <c r="S134">
        <v>0</v>
      </c>
      <c r="T134">
        <f t="shared" si="27"/>
        <v>0.45886965267128138</v>
      </c>
      <c r="U134">
        <v>0.14175189376410643</v>
      </c>
      <c r="V134">
        <f t="shared" si="28"/>
        <v>-0.31711775890717497</v>
      </c>
    </row>
    <row r="135" spans="1:22" x14ac:dyDescent="0.2">
      <c r="A135" s="11">
        <f t="shared" si="29"/>
        <v>134</v>
      </c>
      <c r="B135" s="12">
        <f t="shared" ref="B135:B158" si="30">IF(D135=D134,B134,B134+1)</f>
        <v>70</v>
      </c>
      <c r="C135" s="13">
        <v>43879</v>
      </c>
      <c r="D135" s="14">
        <v>0.60881944444444447</v>
      </c>
      <c r="E135" s="15">
        <v>-7.83</v>
      </c>
      <c r="F135" s="15">
        <v>118.82</v>
      </c>
      <c r="G135" s="16">
        <v>4.4000000000000004</v>
      </c>
      <c r="H135" s="15">
        <v>26</v>
      </c>
      <c r="I135" s="17" t="s">
        <v>20</v>
      </c>
      <c r="J135" s="18" t="s">
        <v>16</v>
      </c>
      <c r="K135">
        <v>1141</v>
      </c>
      <c r="L135">
        <v>237.77709132514747</v>
      </c>
      <c r="M135">
        <v>239.19436690492424</v>
      </c>
      <c r="N135">
        <f t="shared" si="22"/>
        <v>0</v>
      </c>
      <c r="O135">
        <f t="shared" si="23"/>
        <v>1</v>
      </c>
      <c r="P135">
        <f t="shared" si="24"/>
        <v>0</v>
      </c>
      <c r="Q135">
        <f t="shared" si="25"/>
        <v>1</v>
      </c>
      <c r="R135">
        <f t="shared" si="26"/>
        <v>0</v>
      </c>
      <c r="S135">
        <v>1</v>
      </c>
      <c r="T135">
        <f t="shared" si="27"/>
        <v>-0.35051769250356707</v>
      </c>
      <c r="U135">
        <v>-1.1424433539227978</v>
      </c>
      <c r="V135">
        <f t="shared" si="28"/>
        <v>-0.79192566141923071</v>
      </c>
    </row>
    <row r="136" spans="1:22" x14ac:dyDescent="0.2">
      <c r="A136">
        <f t="shared" si="29"/>
        <v>135</v>
      </c>
      <c r="B136" s="2">
        <f t="shared" si="30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6">
        <v>3.6</v>
      </c>
      <c r="H136" s="5">
        <v>10</v>
      </c>
      <c r="I136" s="7" t="s">
        <v>20</v>
      </c>
      <c r="J136" s="8" t="s">
        <v>13</v>
      </c>
      <c r="K136">
        <v>290</v>
      </c>
      <c r="L136">
        <v>191.64887216059438</v>
      </c>
      <c r="M136">
        <v>191.90958860991768</v>
      </c>
      <c r="N136">
        <f t="shared" si="22"/>
        <v>0</v>
      </c>
      <c r="O136">
        <f t="shared" si="23"/>
        <v>1</v>
      </c>
      <c r="P136">
        <f t="shared" si="24"/>
        <v>0</v>
      </c>
      <c r="Q136">
        <f t="shared" si="25"/>
        <v>1</v>
      </c>
      <c r="R136">
        <f t="shared" si="26"/>
        <v>0</v>
      </c>
      <c r="S136">
        <v>0</v>
      </c>
      <c r="T136">
        <f t="shared" si="27"/>
        <v>-0.69129543789065684</v>
      </c>
      <c r="U136">
        <v>-1.3009926504373224</v>
      </c>
      <c r="V136">
        <f t="shared" si="28"/>
        <v>-0.60969721254666553</v>
      </c>
    </row>
    <row r="137" spans="1:22" x14ac:dyDescent="0.2">
      <c r="A137">
        <f t="shared" si="29"/>
        <v>136</v>
      </c>
      <c r="B137" s="2">
        <f t="shared" si="30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6">
        <v>3.6</v>
      </c>
      <c r="H137" s="5">
        <v>10</v>
      </c>
      <c r="I137" s="7" t="s">
        <v>20</v>
      </c>
      <c r="J137" s="8" t="s">
        <v>16</v>
      </c>
      <c r="K137">
        <v>1141</v>
      </c>
      <c r="L137">
        <v>49.632687466105466</v>
      </c>
      <c r="M137">
        <v>50.63006680923997</v>
      </c>
      <c r="N137">
        <f t="shared" si="22"/>
        <v>0</v>
      </c>
      <c r="O137">
        <f t="shared" si="23"/>
        <v>1</v>
      </c>
      <c r="P137">
        <f t="shared" si="24"/>
        <v>0</v>
      </c>
      <c r="Q137">
        <f t="shared" si="25"/>
        <v>1</v>
      </c>
      <c r="R137">
        <f t="shared" si="26"/>
        <v>0</v>
      </c>
      <c r="S137">
        <v>1</v>
      </c>
      <c r="T137">
        <f t="shared" si="27"/>
        <v>0.1144523625453516</v>
      </c>
      <c r="U137">
        <v>0.38479985531218414</v>
      </c>
      <c r="V137">
        <f t="shared" si="28"/>
        <v>0.27034749276683256</v>
      </c>
    </row>
    <row r="138" spans="1:22" x14ac:dyDescent="0.2">
      <c r="A138">
        <f t="shared" si="29"/>
        <v>137</v>
      </c>
      <c r="B138" s="2">
        <f t="shared" si="30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6">
        <v>3.8</v>
      </c>
      <c r="H138" s="5">
        <v>12</v>
      </c>
      <c r="I138" s="7" t="s">
        <v>20</v>
      </c>
      <c r="J138" s="8" t="s">
        <v>13</v>
      </c>
      <c r="K138">
        <v>290</v>
      </c>
      <c r="L138">
        <v>231.58708017250825</v>
      </c>
      <c r="M138">
        <v>231.89776993931565</v>
      </c>
      <c r="N138">
        <f t="shared" si="22"/>
        <v>0</v>
      </c>
      <c r="O138">
        <f t="shared" si="23"/>
        <v>1</v>
      </c>
      <c r="P138">
        <f t="shared" si="24"/>
        <v>0</v>
      </c>
      <c r="Q138">
        <f t="shared" si="25"/>
        <v>1</v>
      </c>
      <c r="R138">
        <f t="shared" si="26"/>
        <v>0</v>
      </c>
      <c r="S138">
        <v>1</v>
      </c>
      <c r="T138">
        <f t="shared" si="27"/>
        <v>-0.65491686180377617</v>
      </c>
      <c r="U138">
        <v>-1.3929995465484466</v>
      </c>
      <c r="V138">
        <f t="shared" si="28"/>
        <v>-0.73808268474467043</v>
      </c>
    </row>
    <row r="139" spans="1:22" x14ac:dyDescent="0.2">
      <c r="A139">
        <f t="shared" si="29"/>
        <v>138</v>
      </c>
      <c r="B139" s="2">
        <f t="shared" si="30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6">
        <v>3.8</v>
      </c>
      <c r="H139" s="5">
        <v>12</v>
      </c>
      <c r="I139" s="7" t="s">
        <v>20</v>
      </c>
      <c r="J139" s="8" t="s">
        <v>14</v>
      </c>
      <c r="K139">
        <v>210</v>
      </c>
      <c r="L139">
        <v>23.286409728284827</v>
      </c>
      <c r="M139">
        <v>26.196505072882495</v>
      </c>
      <c r="N139">
        <f t="shared" si="22"/>
        <v>0</v>
      </c>
      <c r="O139">
        <f t="shared" si="23"/>
        <v>1</v>
      </c>
      <c r="P139">
        <f t="shared" si="24"/>
        <v>0</v>
      </c>
      <c r="Q139">
        <f t="shared" si="25"/>
        <v>1</v>
      </c>
      <c r="R139">
        <f t="shared" si="26"/>
        <v>0</v>
      </c>
      <c r="S139">
        <v>0</v>
      </c>
      <c r="T139">
        <f t="shared" si="27"/>
        <v>0.96053384225874927</v>
      </c>
      <c r="U139">
        <v>-0.61159809697915335</v>
      </c>
      <c r="V139">
        <f t="shared" si="28"/>
        <v>-1.5721319392379027</v>
      </c>
    </row>
    <row r="140" spans="1:22" x14ac:dyDescent="0.2">
      <c r="A140">
        <f t="shared" si="29"/>
        <v>139</v>
      </c>
      <c r="B140" s="2">
        <f t="shared" si="30"/>
        <v>72</v>
      </c>
      <c r="C140" s="33">
        <v>43892</v>
      </c>
      <c r="D140" s="4">
        <v>0.968287037037037</v>
      </c>
      <c r="E140" s="5">
        <v>-8.4</v>
      </c>
      <c r="F140" s="5">
        <v>116.23</v>
      </c>
      <c r="G140" s="6">
        <v>3.8</v>
      </c>
      <c r="H140" s="5">
        <v>12</v>
      </c>
      <c r="I140" s="2" t="s">
        <v>20</v>
      </c>
      <c r="J140" s="8" t="s">
        <v>15</v>
      </c>
      <c r="K140">
        <v>770</v>
      </c>
      <c r="L140">
        <v>41.034935023077367</v>
      </c>
      <c r="M140">
        <v>42.753548301260111</v>
      </c>
      <c r="N140">
        <f t="shared" si="22"/>
        <v>0</v>
      </c>
      <c r="O140">
        <f t="shared" si="23"/>
        <v>1</v>
      </c>
      <c r="P140">
        <f t="shared" si="24"/>
        <v>0</v>
      </c>
      <c r="Q140">
        <f t="shared" si="25"/>
        <v>1</v>
      </c>
      <c r="R140">
        <f t="shared" si="26"/>
        <v>0</v>
      </c>
      <c r="S140">
        <v>0</v>
      </c>
      <c r="T140">
        <f t="shared" si="27"/>
        <v>0.44908418259511834</v>
      </c>
      <c r="U140">
        <v>-0.39740473569183965</v>
      </c>
      <c r="V140">
        <f t="shared" si="28"/>
        <v>-0.84648891828695794</v>
      </c>
    </row>
    <row r="141" spans="1:22" x14ac:dyDescent="0.2">
      <c r="A141">
        <f t="shared" si="29"/>
        <v>140</v>
      </c>
      <c r="B141" s="2">
        <f t="shared" si="30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6">
        <v>3.8</v>
      </c>
      <c r="H141" s="5">
        <v>12</v>
      </c>
      <c r="I141" s="7" t="s">
        <v>20</v>
      </c>
      <c r="J141" s="8" t="s">
        <v>18</v>
      </c>
      <c r="K141">
        <v>283</v>
      </c>
      <c r="L141">
        <v>131.79443249974477</v>
      </c>
      <c r="M141">
        <v>132.33961023793964</v>
      </c>
      <c r="N141">
        <f t="shared" si="22"/>
        <v>0</v>
      </c>
      <c r="O141">
        <f t="shared" si="23"/>
        <v>1</v>
      </c>
      <c r="P141">
        <f t="shared" si="24"/>
        <v>0</v>
      </c>
      <c r="Q141">
        <f t="shared" si="25"/>
        <v>1</v>
      </c>
      <c r="R141">
        <f t="shared" si="26"/>
        <v>0</v>
      </c>
      <c r="S141">
        <v>1</v>
      </c>
      <c r="T141">
        <f t="shared" si="27"/>
        <v>-0.23961690709438471</v>
      </c>
      <c r="U141">
        <v>-1.4013223757105315</v>
      </c>
      <c r="V141">
        <f t="shared" si="28"/>
        <v>-1.1617054686161468</v>
      </c>
    </row>
    <row r="142" spans="1:22" x14ac:dyDescent="0.2">
      <c r="A142">
        <f t="shared" si="29"/>
        <v>141</v>
      </c>
      <c r="B142" s="2">
        <f t="shared" si="30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6">
        <v>3.8</v>
      </c>
      <c r="H142" s="5">
        <v>12</v>
      </c>
      <c r="I142" s="7" t="s">
        <v>20</v>
      </c>
      <c r="J142" s="8" t="s">
        <v>16</v>
      </c>
      <c r="K142">
        <v>1141</v>
      </c>
      <c r="L142">
        <v>81.597304805416869</v>
      </c>
      <c r="M142">
        <v>82.474966817259812</v>
      </c>
      <c r="N142">
        <f t="shared" si="22"/>
        <v>0</v>
      </c>
      <c r="O142">
        <f t="shared" si="23"/>
        <v>1</v>
      </c>
      <c r="P142">
        <f t="shared" si="24"/>
        <v>0</v>
      </c>
      <c r="Q142">
        <f t="shared" si="25"/>
        <v>1</v>
      </c>
      <c r="R142">
        <f t="shared" si="26"/>
        <v>0</v>
      </c>
      <c r="S142">
        <v>1</v>
      </c>
      <c r="T142">
        <f t="shared" si="27"/>
        <v>-7.3453159802612383E-2</v>
      </c>
      <c r="U142">
        <v>-0.42829608770714256</v>
      </c>
      <c r="V142">
        <f t="shared" si="28"/>
        <v>-0.3548429279045302</v>
      </c>
    </row>
    <row r="143" spans="1:22" x14ac:dyDescent="0.2">
      <c r="A143">
        <f t="shared" si="29"/>
        <v>142</v>
      </c>
      <c r="B143" s="2">
        <f t="shared" si="30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6">
        <v>4.2</v>
      </c>
      <c r="H143" s="5">
        <v>16</v>
      </c>
      <c r="I143" s="7" t="s">
        <v>20</v>
      </c>
      <c r="J143" s="8" t="s">
        <v>13</v>
      </c>
      <c r="K143">
        <v>290</v>
      </c>
      <c r="L143">
        <v>236.87368372963641</v>
      </c>
      <c r="M143">
        <v>237.41344116045286</v>
      </c>
      <c r="N143">
        <f t="shared" si="22"/>
        <v>0</v>
      </c>
      <c r="O143">
        <f t="shared" si="23"/>
        <v>1</v>
      </c>
      <c r="P143">
        <f t="shared" si="24"/>
        <v>0</v>
      </c>
      <c r="Q143">
        <f t="shared" si="25"/>
        <v>1</v>
      </c>
      <c r="R143">
        <f t="shared" si="26"/>
        <v>0</v>
      </c>
      <c r="S143">
        <v>1</v>
      </c>
      <c r="T143">
        <f t="shared" si="27"/>
        <v>-0.33247771538690069</v>
      </c>
      <c r="U143">
        <v>-0.75208377973705975</v>
      </c>
      <c r="V143">
        <f t="shared" si="28"/>
        <v>-0.41960606435015907</v>
      </c>
    </row>
    <row r="144" spans="1:22" x14ac:dyDescent="0.2">
      <c r="A144">
        <f t="shared" si="29"/>
        <v>143</v>
      </c>
      <c r="B144" s="2">
        <f t="shared" si="30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6">
        <v>4.2</v>
      </c>
      <c r="H144" s="5">
        <v>16</v>
      </c>
      <c r="I144" s="7" t="s">
        <v>20</v>
      </c>
      <c r="J144" s="8" t="s">
        <v>18</v>
      </c>
      <c r="K144">
        <v>283</v>
      </c>
      <c r="L144">
        <v>138.25826990140519</v>
      </c>
      <c r="M144">
        <v>139.18099437829076</v>
      </c>
      <c r="N144">
        <f t="shared" si="22"/>
        <v>0</v>
      </c>
      <c r="O144">
        <f t="shared" si="23"/>
        <v>1</v>
      </c>
      <c r="P144">
        <f t="shared" si="24"/>
        <v>0</v>
      </c>
      <c r="Q144">
        <f t="shared" si="25"/>
        <v>1</v>
      </c>
      <c r="R144">
        <f t="shared" si="26"/>
        <v>0</v>
      </c>
      <c r="S144">
        <v>1</v>
      </c>
      <c r="T144">
        <f t="shared" si="27"/>
        <v>5.3380863810039536E-2</v>
      </c>
      <c r="U144">
        <v>-0.64982718609512258</v>
      </c>
      <c r="V144">
        <f t="shared" si="28"/>
        <v>-0.70320804990516206</v>
      </c>
    </row>
    <row r="145" spans="1:22" x14ac:dyDescent="0.2">
      <c r="A145">
        <f t="shared" si="29"/>
        <v>144</v>
      </c>
      <c r="B145" s="2">
        <f t="shared" si="30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6">
        <v>4.8</v>
      </c>
      <c r="H145" s="5">
        <v>10</v>
      </c>
      <c r="I145" s="7" t="s">
        <v>20</v>
      </c>
      <c r="J145" s="8" t="s">
        <v>13</v>
      </c>
      <c r="K145">
        <v>290</v>
      </c>
      <c r="L145">
        <v>160.37359502632646</v>
      </c>
      <c r="M145">
        <v>160.68506458805734</v>
      </c>
      <c r="N145">
        <f t="shared" si="22"/>
        <v>0</v>
      </c>
      <c r="O145">
        <f t="shared" si="23"/>
        <v>1</v>
      </c>
      <c r="P145">
        <f t="shared" si="24"/>
        <v>0</v>
      </c>
      <c r="Q145">
        <f t="shared" si="25"/>
        <v>1</v>
      </c>
      <c r="R145">
        <f t="shared" si="26"/>
        <v>0</v>
      </c>
      <c r="S145">
        <v>0</v>
      </c>
      <c r="T145">
        <f t="shared" si="27"/>
        <v>0.40561902148602763</v>
      </c>
      <c r="U145">
        <v>-0.13622956575970988</v>
      </c>
      <c r="V145">
        <f t="shared" si="28"/>
        <v>-0.54184858724573748</v>
      </c>
    </row>
    <row r="146" spans="1:22" x14ac:dyDescent="0.2">
      <c r="A146">
        <f t="shared" si="29"/>
        <v>145</v>
      </c>
      <c r="B146" s="2">
        <f t="shared" si="30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6">
        <v>3.5</v>
      </c>
      <c r="H146" s="5">
        <v>10</v>
      </c>
      <c r="I146" s="7" t="s">
        <v>20</v>
      </c>
      <c r="J146" s="8" t="s">
        <v>13</v>
      </c>
      <c r="K146">
        <v>290</v>
      </c>
      <c r="L146">
        <v>92.159817959932795</v>
      </c>
      <c r="M146">
        <v>92.700766158689063</v>
      </c>
      <c r="N146">
        <f t="shared" si="22"/>
        <v>0</v>
      </c>
      <c r="O146">
        <f t="shared" si="23"/>
        <v>1</v>
      </c>
      <c r="P146">
        <f t="shared" si="24"/>
        <v>0</v>
      </c>
      <c r="Q146">
        <f t="shared" si="25"/>
        <v>1</v>
      </c>
      <c r="R146">
        <f t="shared" si="26"/>
        <v>0</v>
      </c>
      <c r="S146">
        <v>0</v>
      </c>
      <c r="T146">
        <f t="shared" si="27"/>
        <v>-0.23967030077068324</v>
      </c>
      <c r="U146">
        <v>-0.50993254842767421</v>
      </c>
      <c r="V146">
        <f t="shared" si="28"/>
        <v>-0.27026224765699097</v>
      </c>
    </row>
    <row r="147" spans="1:22" x14ac:dyDescent="0.2">
      <c r="A147">
        <f t="shared" si="29"/>
        <v>146</v>
      </c>
      <c r="B147" s="2">
        <f t="shared" si="30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6">
        <v>3.5</v>
      </c>
      <c r="H147" s="5">
        <v>10</v>
      </c>
      <c r="I147" s="7" t="s">
        <v>20</v>
      </c>
      <c r="J147" s="8" t="s">
        <v>16</v>
      </c>
      <c r="K147">
        <v>1141</v>
      </c>
      <c r="L147">
        <v>85.711155793911104</v>
      </c>
      <c r="M147">
        <v>86.292538655019882</v>
      </c>
      <c r="N147">
        <f t="shared" si="22"/>
        <v>0</v>
      </c>
      <c r="O147">
        <f t="shared" si="23"/>
        <v>1</v>
      </c>
      <c r="P147">
        <f t="shared" si="24"/>
        <v>0</v>
      </c>
      <c r="Q147">
        <f t="shared" si="25"/>
        <v>1</v>
      </c>
      <c r="R147">
        <f t="shared" si="26"/>
        <v>0</v>
      </c>
      <c r="S147">
        <v>0</v>
      </c>
      <c r="T147">
        <f t="shared" si="27"/>
        <v>-0.36118711031459416</v>
      </c>
      <c r="U147">
        <v>-0.57741363476621266</v>
      </c>
      <c r="V147">
        <f t="shared" si="28"/>
        <v>-0.2162265244516185</v>
      </c>
    </row>
    <row r="148" spans="1:22" x14ac:dyDescent="0.2">
      <c r="A148">
        <f t="shared" si="29"/>
        <v>147</v>
      </c>
      <c r="B148" s="2">
        <f t="shared" si="30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6">
        <v>4.2</v>
      </c>
      <c r="H148" s="5">
        <v>10</v>
      </c>
      <c r="I148" s="7" t="s">
        <v>20</v>
      </c>
      <c r="J148" s="8" t="s">
        <v>13</v>
      </c>
      <c r="K148">
        <v>290</v>
      </c>
      <c r="L148">
        <v>190.05302625038044</v>
      </c>
      <c r="M148">
        <v>190.31592888386353</v>
      </c>
      <c r="N148">
        <f t="shared" si="22"/>
        <v>0</v>
      </c>
      <c r="O148">
        <f t="shared" si="23"/>
        <v>1</v>
      </c>
      <c r="P148">
        <f t="shared" si="24"/>
        <v>0</v>
      </c>
      <c r="Q148">
        <f t="shared" si="25"/>
        <v>1</v>
      </c>
      <c r="R148">
        <f t="shared" si="26"/>
        <v>0</v>
      </c>
      <c r="S148">
        <v>0</v>
      </c>
      <c r="T148">
        <f t="shared" si="27"/>
        <v>-0.17334564717004991</v>
      </c>
      <c r="U148">
        <v>-1.0813263035221909</v>
      </c>
      <c r="V148">
        <f t="shared" si="28"/>
        <v>-0.90798065635214109</v>
      </c>
    </row>
    <row r="149" spans="1:22" x14ac:dyDescent="0.2">
      <c r="A149">
        <f t="shared" si="29"/>
        <v>148</v>
      </c>
      <c r="B149" s="2">
        <f t="shared" si="30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6">
        <v>4.2</v>
      </c>
      <c r="H149" s="5">
        <v>10</v>
      </c>
      <c r="I149" s="7" t="s">
        <v>20</v>
      </c>
      <c r="J149" s="8" t="s">
        <v>16</v>
      </c>
      <c r="K149">
        <v>1141</v>
      </c>
      <c r="L149">
        <v>61.54635269622478</v>
      </c>
      <c r="M149">
        <v>62.353456441548573</v>
      </c>
      <c r="N149">
        <f t="shared" si="22"/>
        <v>0</v>
      </c>
      <c r="O149">
        <f t="shared" si="23"/>
        <v>1</v>
      </c>
      <c r="P149">
        <f t="shared" si="24"/>
        <v>0</v>
      </c>
      <c r="Q149">
        <f t="shared" si="25"/>
        <v>1</v>
      </c>
      <c r="R149">
        <f t="shared" si="26"/>
        <v>0</v>
      </c>
      <c r="S149">
        <v>0</v>
      </c>
      <c r="T149">
        <f t="shared" si="27"/>
        <v>0.44322345205903646</v>
      </c>
      <c r="U149">
        <v>1.0650685288281097</v>
      </c>
      <c r="V149">
        <f t="shared" si="28"/>
        <v>0.62184507676907319</v>
      </c>
    </row>
    <row r="150" spans="1:22" x14ac:dyDescent="0.2">
      <c r="A150">
        <f t="shared" si="29"/>
        <v>149</v>
      </c>
      <c r="B150" s="2">
        <f t="shared" si="30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6">
        <v>3.9</v>
      </c>
      <c r="H150" s="5">
        <v>10</v>
      </c>
      <c r="I150" s="7" t="s">
        <v>20</v>
      </c>
      <c r="J150" s="8" t="s">
        <v>13</v>
      </c>
      <c r="K150">
        <v>290</v>
      </c>
      <c r="L150">
        <v>107.68058281077444</v>
      </c>
      <c r="M150">
        <v>108.14392222620766</v>
      </c>
      <c r="N150">
        <f t="shared" si="22"/>
        <v>0</v>
      </c>
      <c r="O150">
        <f t="shared" si="23"/>
        <v>1</v>
      </c>
      <c r="P150">
        <f t="shared" si="24"/>
        <v>0</v>
      </c>
      <c r="Q150">
        <f t="shared" si="25"/>
        <v>1</v>
      </c>
      <c r="R150">
        <f t="shared" si="26"/>
        <v>0</v>
      </c>
      <c r="S150">
        <v>0</v>
      </c>
      <c r="T150">
        <f t="shared" si="27"/>
        <v>-1.2285292373879902E-2</v>
      </c>
      <c r="U150">
        <v>-0.62802694194125619</v>
      </c>
      <c r="V150">
        <f t="shared" si="28"/>
        <v>-0.61574164956737631</v>
      </c>
    </row>
    <row r="151" spans="1:22" x14ac:dyDescent="0.2">
      <c r="A151" s="11">
        <f t="shared" si="29"/>
        <v>150</v>
      </c>
      <c r="B151" s="12">
        <f t="shared" si="30"/>
        <v>78</v>
      </c>
      <c r="C151" s="13">
        <v>44176</v>
      </c>
      <c r="D151" s="14">
        <v>0.53548611111182254</v>
      </c>
      <c r="E151" s="15">
        <v>-8.27</v>
      </c>
      <c r="F151" s="15">
        <v>116.53</v>
      </c>
      <c r="G151" s="16">
        <v>3.9</v>
      </c>
      <c r="H151" s="15">
        <v>11</v>
      </c>
      <c r="I151" s="17" t="s">
        <v>20</v>
      </c>
      <c r="J151" s="18" t="s">
        <v>13</v>
      </c>
      <c r="K151">
        <v>290</v>
      </c>
      <c r="L151">
        <v>199.64956279833908</v>
      </c>
      <c r="M151">
        <v>199.95236414098218</v>
      </c>
      <c r="N151">
        <f t="shared" si="22"/>
        <v>0</v>
      </c>
      <c r="O151">
        <f t="shared" si="23"/>
        <v>1</v>
      </c>
      <c r="P151">
        <f t="shared" si="24"/>
        <v>0</v>
      </c>
      <c r="Q151">
        <f t="shared" si="25"/>
        <v>1</v>
      </c>
      <c r="R151">
        <f t="shared" si="26"/>
        <v>0</v>
      </c>
      <c r="S151">
        <v>0</v>
      </c>
      <c r="T151">
        <f t="shared" si="27"/>
        <v>-0.45922291858856007</v>
      </c>
      <c r="U151">
        <v>-1.3504941516942723</v>
      </c>
      <c r="V151">
        <f t="shared" si="28"/>
        <v>-0.89127123310571221</v>
      </c>
    </row>
    <row r="152" spans="1:22" x14ac:dyDescent="0.2">
      <c r="A152">
        <f t="shared" si="29"/>
        <v>151</v>
      </c>
      <c r="B152" s="2">
        <f t="shared" si="30"/>
        <v>79</v>
      </c>
      <c r="C152" s="34">
        <v>44274</v>
      </c>
      <c r="D152" s="35">
        <v>0.68978009259444661</v>
      </c>
      <c r="E152" s="36">
        <v>-7.83</v>
      </c>
      <c r="F152" s="36">
        <v>118.78</v>
      </c>
      <c r="G152" s="6">
        <v>4.5</v>
      </c>
      <c r="H152" s="36">
        <v>26</v>
      </c>
      <c r="I152" s="7" t="s">
        <v>20</v>
      </c>
      <c r="J152" s="8" t="s">
        <v>12</v>
      </c>
      <c r="K152">
        <v>386</v>
      </c>
      <c r="L152">
        <v>79.768739281944931</v>
      </c>
      <c r="M152">
        <v>83.899057006803744</v>
      </c>
      <c r="N152">
        <f t="shared" si="22"/>
        <v>0</v>
      </c>
      <c r="O152">
        <f t="shared" si="23"/>
        <v>1</v>
      </c>
      <c r="P152">
        <f t="shared" si="24"/>
        <v>0</v>
      </c>
      <c r="Q152">
        <f t="shared" si="25"/>
        <v>1</v>
      </c>
      <c r="R152">
        <f t="shared" si="26"/>
        <v>0</v>
      </c>
      <c r="S152">
        <v>0</v>
      </c>
      <c r="T152">
        <f t="shared" si="27"/>
        <v>0.59840916212809436</v>
      </c>
      <c r="U152">
        <v>8.0811757537894893E-2</v>
      </c>
      <c r="V152">
        <f t="shared" si="28"/>
        <v>-0.51759740459019943</v>
      </c>
    </row>
    <row r="153" spans="1:22" x14ac:dyDescent="0.2">
      <c r="A153">
        <f t="shared" si="29"/>
        <v>152</v>
      </c>
      <c r="B153" s="2">
        <f t="shared" si="30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6">
        <v>4.5</v>
      </c>
      <c r="H153" s="5">
        <v>26</v>
      </c>
      <c r="I153" s="7" t="s">
        <v>20</v>
      </c>
      <c r="J153" s="8" t="s">
        <v>18</v>
      </c>
      <c r="K153">
        <v>283</v>
      </c>
      <c r="L153">
        <v>168.55202854350387</v>
      </c>
      <c r="M153">
        <v>170.54555498789802</v>
      </c>
      <c r="N153">
        <f t="shared" si="22"/>
        <v>0</v>
      </c>
      <c r="O153">
        <f t="shared" si="23"/>
        <v>1</v>
      </c>
      <c r="P153">
        <f t="shared" si="24"/>
        <v>0</v>
      </c>
      <c r="Q153">
        <f t="shared" si="25"/>
        <v>1</v>
      </c>
      <c r="R153">
        <f t="shared" si="26"/>
        <v>0</v>
      </c>
      <c r="S153">
        <v>1</v>
      </c>
      <c r="T153">
        <f t="shared" si="27"/>
        <v>0.14423056363724024</v>
      </c>
      <c r="U153">
        <v>-0.53422882966131746</v>
      </c>
      <c r="V153">
        <f t="shared" si="28"/>
        <v>-0.67845939329855764</v>
      </c>
    </row>
    <row r="154" spans="1:22" x14ac:dyDescent="0.2">
      <c r="A154" s="11">
        <f t="shared" si="29"/>
        <v>153</v>
      </c>
      <c r="B154" s="12">
        <f t="shared" si="30"/>
        <v>79</v>
      </c>
      <c r="C154" s="13">
        <v>44274</v>
      </c>
      <c r="D154" s="14">
        <v>0.68978009259444661</v>
      </c>
      <c r="E154" s="15">
        <v>-7.83</v>
      </c>
      <c r="F154" s="15">
        <v>118.78</v>
      </c>
      <c r="G154" s="16">
        <v>4.5</v>
      </c>
      <c r="H154" s="15">
        <v>26</v>
      </c>
      <c r="I154" s="17" t="s">
        <v>20</v>
      </c>
      <c r="J154" s="18" t="s">
        <v>16</v>
      </c>
      <c r="K154">
        <v>1141</v>
      </c>
      <c r="L154">
        <v>233.7605677111687</v>
      </c>
      <c r="M154">
        <v>235.20204722035879</v>
      </c>
      <c r="N154">
        <f t="shared" si="22"/>
        <v>0</v>
      </c>
      <c r="O154">
        <f t="shared" si="23"/>
        <v>1</v>
      </c>
      <c r="P154">
        <f t="shared" si="24"/>
        <v>0</v>
      </c>
      <c r="Q154">
        <f t="shared" si="25"/>
        <v>1</v>
      </c>
      <c r="R154">
        <f t="shared" si="26"/>
        <v>0</v>
      </c>
      <c r="S154">
        <v>1</v>
      </c>
      <c r="T154">
        <f t="shared" si="27"/>
        <v>-0.25974738702991362</v>
      </c>
      <c r="U154">
        <v>-0.70333027435217943</v>
      </c>
      <c r="V154">
        <f t="shared" si="28"/>
        <v>-0.44358288732226581</v>
      </c>
    </row>
    <row r="155" spans="1:22" x14ac:dyDescent="0.2">
      <c r="A155">
        <f t="shared" si="29"/>
        <v>154</v>
      </c>
      <c r="B155" s="2">
        <f t="shared" si="30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6">
        <v>3.5</v>
      </c>
      <c r="H155" s="5">
        <v>10</v>
      </c>
      <c r="I155" s="7" t="s">
        <v>20</v>
      </c>
      <c r="J155" s="8" t="s">
        <v>13</v>
      </c>
      <c r="K155">
        <v>290</v>
      </c>
      <c r="L155">
        <v>103.32560484404641</v>
      </c>
      <c r="M155">
        <v>103.80838413340238</v>
      </c>
      <c r="N155">
        <f t="shared" si="22"/>
        <v>0</v>
      </c>
      <c r="O155">
        <f t="shared" si="23"/>
        <v>1</v>
      </c>
      <c r="P155">
        <f t="shared" si="24"/>
        <v>0</v>
      </c>
      <c r="Q155">
        <f t="shared" si="25"/>
        <v>1</v>
      </c>
      <c r="R155">
        <f t="shared" si="26"/>
        <v>0</v>
      </c>
      <c r="S155">
        <v>0</v>
      </c>
      <c r="T155">
        <f t="shared" si="27"/>
        <v>-0.32342554799692697</v>
      </c>
      <c r="U155">
        <v>-0.434749376499179</v>
      </c>
      <c r="V155">
        <f t="shared" si="28"/>
        <v>-0.11132382850225203</v>
      </c>
    </row>
    <row r="156" spans="1:22" x14ac:dyDescent="0.2">
      <c r="A156" s="19">
        <f t="shared" si="29"/>
        <v>155</v>
      </c>
      <c r="B156" s="20">
        <f t="shared" si="30"/>
        <v>81</v>
      </c>
      <c r="C156" s="41">
        <v>43331</v>
      </c>
      <c r="D156" s="42">
        <v>0.62263425925925919</v>
      </c>
      <c r="E156" s="43">
        <v>-8.27</v>
      </c>
      <c r="F156" s="44">
        <v>116.67</v>
      </c>
      <c r="G156" s="45">
        <v>6.9</v>
      </c>
      <c r="H156" s="46">
        <v>22</v>
      </c>
      <c r="I156" s="47" t="s">
        <v>20</v>
      </c>
      <c r="J156" s="26" t="s">
        <v>16</v>
      </c>
      <c r="K156">
        <v>1141</v>
      </c>
      <c r="L156">
        <v>57.090874097075393</v>
      </c>
      <c r="M156">
        <v>61.183068778609936</v>
      </c>
      <c r="N156">
        <f t="shared" si="22"/>
        <v>0</v>
      </c>
      <c r="O156">
        <f t="shared" si="23"/>
        <v>1</v>
      </c>
      <c r="P156">
        <f t="shared" si="24"/>
        <v>0</v>
      </c>
      <c r="Q156">
        <f t="shared" si="25"/>
        <v>0</v>
      </c>
      <c r="R156">
        <f t="shared" si="26"/>
        <v>1</v>
      </c>
      <c r="S156">
        <v>0</v>
      </c>
      <c r="T156">
        <f t="shared" si="27"/>
        <v>2.029372199066044</v>
      </c>
      <c r="U156">
        <v>2.4348041974498402</v>
      </c>
      <c r="V156">
        <f t="shared" si="28"/>
        <v>0.40543199838379618</v>
      </c>
    </row>
    <row r="157" spans="1:22" x14ac:dyDescent="0.2">
      <c r="A157" s="19">
        <f t="shared" si="29"/>
        <v>156</v>
      </c>
      <c r="B157" s="20">
        <f t="shared" si="30"/>
        <v>81</v>
      </c>
      <c r="C157" s="41">
        <v>43331</v>
      </c>
      <c r="D157" s="42">
        <v>0.62263425925925919</v>
      </c>
      <c r="E157" s="43">
        <v>-8.27</v>
      </c>
      <c r="F157" s="44">
        <v>116.67</v>
      </c>
      <c r="G157" s="45">
        <v>6.9</v>
      </c>
      <c r="H157" s="46">
        <v>22</v>
      </c>
      <c r="I157" s="47" t="s">
        <v>20</v>
      </c>
      <c r="J157" s="26" t="s">
        <v>15</v>
      </c>
      <c r="K157">
        <v>770</v>
      </c>
      <c r="L157">
        <v>70.184466740784501</v>
      </c>
      <c r="M157">
        <v>73.551746217804279</v>
      </c>
      <c r="N157">
        <f t="shared" si="22"/>
        <v>0</v>
      </c>
      <c r="O157">
        <f t="shared" si="23"/>
        <v>1</v>
      </c>
      <c r="P157">
        <f t="shared" si="24"/>
        <v>0</v>
      </c>
      <c r="Q157">
        <f t="shared" si="25"/>
        <v>0</v>
      </c>
      <c r="R157">
        <f t="shared" si="26"/>
        <v>1</v>
      </c>
      <c r="S157">
        <v>1</v>
      </c>
      <c r="T157">
        <f t="shared" si="27"/>
        <v>1.9733848694819749</v>
      </c>
      <c r="U157">
        <v>1.0412158445481763</v>
      </c>
      <c r="V157">
        <f t="shared" si="28"/>
        <v>-0.93216902493379861</v>
      </c>
    </row>
    <row r="158" spans="1:22" x14ac:dyDescent="0.2">
      <c r="A158" s="19">
        <f t="shared" si="29"/>
        <v>157</v>
      </c>
      <c r="B158" s="20">
        <f t="shared" si="30"/>
        <v>81</v>
      </c>
      <c r="C158" s="41">
        <v>43331</v>
      </c>
      <c r="D158" s="42">
        <v>0.62263425925925919</v>
      </c>
      <c r="E158" s="43">
        <v>-8.27</v>
      </c>
      <c r="F158" s="44">
        <v>116.67</v>
      </c>
      <c r="G158" s="45">
        <v>6.9</v>
      </c>
      <c r="H158" s="46">
        <v>22</v>
      </c>
      <c r="I158" s="47" t="s">
        <v>20</v>
      </c>
      <c r="J158" s="26" t="s">
        <v>18</v>
      </c>
      <c r="K158">
        <v>283</v>
      </c>
      <c r="L158">
        <v>86.027062307915102</v>
      </c>
      <c r="M158">
        <v>88.795582375081622</v>
      </c>
      <c r="N158">
        <f t="shared" si="22"/>
        <v>0</v>
      </c>
      <c r="O158">
        <f t="shared" si="23"/>
        <v>1</v>
      </c>
      <c r="P158">
        <f t="shared" si="24"/>
        <v>0</v>
      </c>
      <c r="Q158">
        <f t="shared" si="25"/>
        <v>0</v>
      </c>
      <c r="R158">
        <f t="shared" si="26"/>
        <v>1</v>
      </c>
      <c r="S158">
        <v>0</v>
      </c>
      <c r="T158">
        <f t="shared" si="27"/>
        <v>1.9919271677400587</v>
      </c>
      <c r="U158">
        <v>1.4737945102840271</v>
      </c>
      <c r="V158">
        <f t="shared" si="28"/>
        <v>-0.51813265745603165</v>
      </c>
    </row>
  </sheetData>
  <autoFilter ref="K1:K158" xr:uid="{869BF6E7-3645-B848-A5E9-496647D28287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2C96-D56C-7646-90D9-0493E3DE6524}">
  <dimension ref="A1:X158"/>
  <sheetViews>
    <sheetView topLeftCell="H5" workbookViewId="0">
      <selection activeCell="P2" sqref="P2:P157"/>
    </sheetView>
  </sheetViews>
  <sheetFormatPr baseColWidth="10" defaultColWidth="11" defaultRowHeight="16" x14ac:dyDescent="0.2"/>
  <cols>
    <col min="14" max="16" width="7" customWidth="1"/>
    <col min="17" max="19" width="10.33203125" customWidth="1"/>
    <col min="20" max="20" width="10.1640625" customWidth="1"/>
    <col min="24" max="24" width="11.1640625" bestFit="1" customWidth="1"/>
  </cols>
  <sheetData>
    <row r="1" spans="1:24" ht="2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46</v>
      </c>
      <c r="N1" s="51" t="s">
        <v>43</v>
      </c>
      <c r="O1" s="51" t="s">
        <v>44</v>
      </c>
      <c r="P1" s="48" t="s">
        <v>45</v>
      </c>
      <c r="Q1" s="51" t="s">
        <v>38</v>
      </c>
      <c r="R1" s="51" t="s">
        <v>39</v>
      </c>
      <c r="S1" s="51" t="s">
        <v>37</v>
      </c>
      <c r="T1" s="51" t="s">
        <v>32</v>
      </c>
      <c r="U1" s="51" t="s">
        <v>33</v>
      </c>
      <c r="V1" s="51" t="s">
        <v>49</v>
      </c>
      <c r="W1" s="49" t="s">
        <v>23</v>
      </c>
    </row>
    <row r="2" spans="1:24" x14ac:dyDescent="0.2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6">
        <v>5.5</v>
      </c>
      <c r="H2" s="5">
        <v>22</v>
      </c>
      <c r="I2" s="7" t="s">
        <v>11</v>
      </c>
      <c r="J2" s="8" t="s">
        <v>12</v>
      </c>
      <c r="K2">
        <v>386</v>
      </c>
      <c r="L2">
        <v>97.42375977291556</v>
      </c>
      <c r="M2">
        <v>99.87686903528143</v>
      </c>
      <c r="N2">
        <f t="shared" ref="N2:N33" si="0">IF(I2="normal",1,0)</f>
        <v>0</v>
      </c>
      <c r="O2">
        <f t="shared" ref="O2:O33" si="1">IF(I2="reverse",1,0)</f>
        <v>0</v>
      </c>
      <c r="P2">
        <f>IF(I2="strike slip",1,0)</f>
        <v>1</v>
      </c>
      <c r="Q2">
        <f>IF(G2&gt;$X$3,0,1)</f>
        <v>1</v>
      </c>
      <c r="R2">
        <f>IF(G2&gt;$X$3,1,0)</f>
        <v>0</v>
      </c>
      <c r="S2">
        <v>1</v>
      </c>
      <c r="T2">
        <f>$X$6+($X$7+$X$8*(G2-$X$2))*LOG10((SQRT((M2^2)+($X$9^2))/$X$4))-$X$10*(SQRT((M2^2)+($X$9^2))-$X$4)+Q2*$X$11*(G2-$X$3)+Q2*$X$12*((G2-$X$3)^2)+R2*$X$13*(G2-$X$3)+$X$14*LOG10(K2/$X$5)+$X$15*N2+$X$16*O2+$X$17*P2</f>
        <v>1.1582925614811994</v>
      </c>
      <c r="U2">
        <v>1.4698660053682429</v>
      </c>
      <c r="V2">
        <f>U2-T2</f>
        <v>0.31157344388704344</v>
      </c>
      <c r="W2" t="s">
        <v>25</v>
      </c>
      <c r="X2">
        <v>5.5</v>
      </c>
    </row>
    <row r="3" spans="1:24" x14ac:dyDescent="0.2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6">
        <v>5.5</v>
      </c>
      <c r="H3" s="5">
        <v>22</v>
      </c>
      <c r="I3" s="7" t="s">
        <v>11</v>
      </c>
      <c r="J3" s="8" t="s">
        <v>13</v>
      </c>
      <c r="K3">
        <v>290</v>
      </c>
      <c r="L3">
        <v>57.079414195557547</v>
      </c>
      <c r="M3">
        <v>61.172375504863439</v>
      </c>
      <c r="N3">
        <f t="shared" si="0"/>
        <v>0</v>
      </c>
      <c r="O3">
        <f t="shared" si="1"/>
        <v>0</v>
      </c>
      <c r="P3">
        <f t="shared" ref="P3:P66" si="2">IF(I3="strike slip",1,0)</f>
        <v>1</v>
      </c>
      <c r="Q3">
        <f t="shared" ref="Q3:Q66" si="3">IF(G3&gt;$X$3,0,1)</f>
        <v>1</v>
      </c>
      <c r="R3">
        <f t="shared" ref="R3:R66" si="4">IF(G3&gt;$X$3,1,0)</f>
        <v>0</v>
      </c>
      <c r="S3">
        <v>1</v>
      </c>
      <c r="T3">
        <f t="shared" ref="T3:T66" si="5">$X$6+($X$7+$X$8*(G3-$X$2))*LOG10((SQRT((M3^2)+($X$9^2))/$X$4))-$X$10*(SQRT((M3^2)+($X$9^2))-$X$4)+Q3*$X$11*(G3-$X$3)+Q3*$X$12*((G3-$X$3)^2)+R3*$X$13*(G3-$X$3)+$X$14*LOG10(K3/$X$5)+$X$15*N3+$X$16*O3+$X$17*P3</f>
        <v>1.5028987983893729</v>
      </c>
      <c r="U3">
        <v>1.150091692651201</v>
      </c>
      <c r="V3">
        <f t="shared" ref="V3:V66" si="6">U3-T3</f>
        <v>-0.35280710573817187</v>
      </c>
      <c r="W3" t="s">
        <v>24</v>
      </c>
      <c r="X3">
        <v>6.75</v>
      </c>
    </row>
    <row r="4" spans="1:24" x14ac:dyDescent="0.2">
      <c r="A4">
        <f t="shared" ref="A4:A67" si="7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6">
        <v>5.5</v>
      </c>
      <c r="H4" s="5">
        <v>22</v>
      </c>
      <c r="I4" s="7" t="s">
        <v>11</v>
      </c>
      <c r="J4" s="8" t="s">
        <v>14</v>
      </c>
      <c r="K4">
        <v>210</v>
      </c>
      <c r="L4">
        <v>199.93485105406191</v>
      </c>
      <c r="M4">
        <v>201.14160351854093</v>
      </c>
      <c r="N4">
        <f t="shared" si="0"/>
        <v>0</v>
      </c>
      <c r="O4">
        <f t="shared" si="1"/>
        <v>0</v>
      </c>
      <c r="P4">
        <f t="shared" si="2"/>
        <v>1</v>
      </c>
      <c r="Q4">
        <f t="shared" si="3"/>
        <v>1</v>
      </c>
      <c r="R4">
        <f t="shared" si="4"/>
        <v>0</v>
      </c>
      <c r="S4">
        <v>1</v>
      </c>
      <c r="T4">
        <f t="shared" si="5"/>
        <v>0.82312101121073877</v>
      </c>
      <c r="U4">
        <v>0.4739648789157665</v>
      </c>
      <c r="V4">
        <f t="shared" si="6"/>
        <v>-0.34915613229497228</v>
      </c>
      <c r="W4" t="s">
        <v>26</v>
      </c>
      <c r="X4">
        <v>1</v>
      </c>
    </row>
    <row r="5" spans="1:24" x14ac:dyDescent="0.2">
      <c r="A5">
        <f t="shared" si="7"/>
        <v>4</v>
      </c>
      <c r="B5" s="2">
        <v>1</v>
      </c>
      <c r="C5" s="9">
        <v>42582</v>
      </c>
      <c r="D5" s="10">
        <v>0.98613425925925924</v>
      </c>
      <c r="E5" s="5">
        <v>-8.24</v>
      </c>
      <c r="F5" s="5">
        <v>117.87</v>
      </c>
      <c r="G5" s="6">
        <v>5.5</v>
      </c>
      <c r="H5" s="5">
        <v>22</v>
      </c>
      <c r="I5" s="2" t="s">
        <v>11</v>
      </c>
      <c r="J5" s="8" t="s">
        <v>15</v>
      </c>
      <c r="K5">
        <v>770</v>
      </c>
      <c r="L5">
        <v>186.18385881689272</v>
      </c>
      <c r="M5">
        <v>187.47914359722429</v>
      </c>
      <c r="N5">
        <f t="shared" si="0"/>
        <v>0</v>
      </c>
      <c r="O5">
        <f t="shared" si="1"/>
        <v>0</v>
      </c>
      <c r="P5">
        <f t="shared" si="2"/>
        <v>1</v>
      </c>
      <c r="Q5">
        <f t="shared" si="3"/>
        <v>1</v>
      </c>
      <c r="R5">
        <f t="shared" si="4"/>
        <v>0</v>
      </c>
      <c r="S5">
        <v>0</v>
      </c>
      <c r="T5">
        <f t="shared" si="5"/>
        <v>0.66172160905720123</v>
      </c>
      <c r="U5">
        <v>0.33528872325575504</v>
      </c>
      <c r="V5">
        <f t="shared" si="6"/>
        <v>-0.32643288580144619</v>
      </c>
      <c r="W5" t="s">
        <v>31</v>
      </c>
      <c r="X5">
        <v>800</v>
      </c>
    </row>
    <row r="6" spans="1:24" x14ac:dyDescent="0.2">
      <c r="A6">
        <f t="shared" si="7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6">
        <v>5.5</v>
      </c>
      <c r="H6" s="5">
        <v>22</v>
      </c>
      <c r="I6" s="7" t="s">
        <v>11</v>
      </c>
      <c r="J6" s="8" t="s">
        <v>16</v>
      </c>
      <c r="K6">
        <v>1141</v>
      </c>
      <c r="L6">
        <v>122.92739866371562</v>
      </c>
      <c r="M6">
        <v>124.88052427111312</v>
      </c>
      <c r="N6">
        <f t="shared" si="0"/>
        <v>0</v>
      </c>
      <c r="O6">
        <f t="shared" si="1"/>
        <v>0</v>
      </c>
      <c r="P6">
        <f t="shared" si="2"/>
        <v>1</v>
      </c>
      <c r="Q6">
        <f t="shared" si="3"/>
        <v>1</v>
      </c>
      <c r="R6">
        <f t="shared" si="4"/>
        <v>0</v>
      </c>
      <c r="S6">
        <v>0</v>
      </c>
      <c r="T6">
        <f t="shared" si="5"/>
        <v>0.85020619766157113</v>
      </c>
      <c r="U6">
        <v>0.69669993733301916</v>
      </c>
      <c r="V6">
        <f t="shared" si="6"/>
        <v>-0.15350626032855197</v>
      </c>
      <c r="W6" s="50" t="s">
        <v>30</v>
      </c>
      <c r="X6" s="52">
        <v>4.5172600000000003</v>
      </c>
    </row>
    <row r="7" spans="1:24" x14ac:dyDescent="0.2">
      <c r="A7">
        <f t="shared" si="7"/>
        <v>6</v>
      </c>
      <c r="B7" s="2">
        <f t="shared" ref="B7:B70" si="8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6">
        <v>4.4000000000000004</v>
      </c>
      <c r="H7" s="5">
        <v>11</v>
      </c>
      <c r="I7" s="7" t="s">
        <v>11</v>
      </c>
      <c r="J7" s="8" t="s">
        <v>17</v>
      </c>
      <c r="K7">
        <v>612</v>
      </c>
      <c r="L7">
        <v>51.849622503718564</v>
      </c>
      <c r="M7">
        <v>53.00361642169446</v>
      </c>
      <c r="N7">
        <f t="shared" si="0"/>
        <v>0</v>
      </c>
      <c r="O7">
        <f t="shared" si="1"/>
        <v>0</v>
      </c>
      <c r="P7">
        <f t="shared" si="2"/>
        <v>1</v>
      </c>
      <c r="Q7">
        <f t="shared" si="3"/>
        <v>1</v>
      </c>
      <c r="R7">
        <f t="shared" si="4"/>
        <v>0</v>
      </c>
      <c r="S7">
        <v>0</v>
      </c>
      <c r="T7">
        <f t="shared" si="5"/>
        <v>0.6423699154930026</v>
      </c>
      <c r="U7">
        <v>0.25210678767092881</v>
      </c>
      <c r="V7">
        <f t="shared" si="6"/>
        <v>-0.39026312782207379</v>
      </c>
      <c r="W7" s="50" t="s">
        <v>27</v>
      </c>
      <c r="X7">
        <v>-1.4007799999999999</v>
      </c>
    </row>
    <row r="8" spans="1:24" x14ac:dyDescent="0.2">
      <c r="A8">
        <f t="shared" si="7"/>
        <v>7</v>
      </c>
      <c r="B8" s="2">
        <f t="shared" si="8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6">
        <v>4.4000000000000004</v>
      </c>
      <c r="H8" s="5">
        <v>11</v>
      </c>
      <c r="I8" s="7" t="s">
        <v>11</v>
      </c>
      <c r="J8" s="8" t="s">
        <v>14</v>
      </c>
      <c r="K8">
        <v>210</v>
      </c>
      <c r="L8">
        <v>61.668145708230284</v>
      </c>
      <c r="M8">
        <v>62.641521334427388</v>
      </c>
      <c r="N8">
        <f t="shared" si="0"/>
        <v>0</v>
      </c>
      <c r="O8">
        <f t="shared" si="1"/>
        <v>0</v>
      </c>
      <c r="P8">
        <f t="shared" si="2"/>
        <v>1</v>
      </c>
      <c r="Q8">
        <f t="shared" si="3"/>
        <v>1</v>
      </c>
      <c r="R8">
        <f t="shared" si="4"/>
        <v>0</v>
      </c>
      <c r="S8">
        <v>0</v>
      </c>
      <c r="T8">
        <f t="shared" si="5"/>
        <v>0.70930834523071895</v>
      </c>
      <c r="U8">
        <v>-0.16428365305159531</v>
      </c>
      <c r="V8">
        <f t="shared" si="6"/>
        <v>-0.87359199828231426</v>
      </c>
      <c r="W8" s="50" t="s">
        <v>28</v>
      </c>
      <c r="X8">
        <v>1.98E-3</v>
      </c>
    </row>
    <row r="9" spans="1:24" x14ac:dyDescent="0.2">
      <c r="A9">
        <f t="shared" si="7"/>
        <v>8</v>
      </c>
      <c r="B9" s="2">
        <f t="shared" si="8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6">
        <v>4.4000000000000004</v>
      </c>
      <c r="H9" s="5">
        <v>11</v>
      </c>
      <c r="I9" s="7" t="s">
        <v>11</v>
      </c>
      <c r="J9" s="8" t="s">
        <v>16</v>
      </c>
      <c r="K9">
        <v>1141</v>
      </c>
      <c r="L9">
        <v>145.7603890243447</v>
      </c>
      <c r="M9">
        <v>146.17486448951581</v>
      </c>
      <c r="N9">
        <f t="shared" si="0"/>
        <v>0</v>
      </c>
      <c r="O9">
        <f t="shared" si="1"/>
        <v>0</v>
      </c>
      <c r="P9">
        <f t="shared" si="2"/>
        <v>1</v>
      </c>
      <c r="Q9">
        <f t="shared" si="3"/>
        <v>1</v>
      </c>
      <c r="R9">
        <f t="shared" si="4"/>
        <v>0</v>
      </c>
      <c r="S9">
        <v>1</v>
      </c>
      <c r="T9">
        <f t="shared" si="5"/>
        <v>-7.7533658691462809E-2</v>
      </c>
      <c r="U9">
        <v>-0.62228179388173122</v>
      </c>
      <c r="V9">
        <f t="shared" si="6"/>
        <v>-0.54474813519026843</v>
      </c>
      <c r="W9" s="50" t="s">
        <v>7</v>
      </c>
      <c r="X9">
        <v>4.26816</v>
      </c>
    </row>
    <row r="10" spans="1:24" x14ac:dyDescent="0.2">
      <c r="A10">
        <f t="shared" si="7"/>
        <v>9</v>
      </c>
      <c r="B10" s="2">
        <f t="shared" si="8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6">
        <v>3.9</v>
      </c>
      <c r="H10" s="5">
        <v>10</v>
      </c>
      <c r="I10" s="7" t="s">
        <v>11</v>
      </c>
      <c r="J10" s="8" t="s">
        <v>17</v>
      </c>
      <c r="K10">
        <v>612</v>
      </c>
      <c r="L10">
        <v>92.404790052454644</v>
      </c>
      <c r="M10">
        <v>92.944312492148882</v>
      </c>
      <c r="N10">
        <f t="shared" si="0"/>
        <v>0</v>
      </c>
      <c r="O10">
        <f t="shared" si="1"/>
        <v>0</v>
      </c>
      <c r="P10">
        <f t="shared" si="2"/>
        <v>1</v>
      </c>
      <c r="Q10">
        <f t="shared" si="3"/>
        <v>1</v>
      </c>
      <c r="R10">
        <f t="shared" si="4"/>
        <v>0</v>
      </c>
      <c r="S10">
        <v>0</v>
      </c>
      <c r="T10">
        <f t="shared" si="5"/>
        <v>-0.17043399767349482</v>
      </c>
      <c r="U10">
        <v>-1.148647982913708</v>
      </c>
      <c r="V10">
        <f t="shared" si="6"/>
        <v>-0.97821398524021319</v>
      </c>
      <c r="W10" s="50" t="s">
        <v>29</v>
      </c>
      <c r="X10">
        <v>5.6499999999999998E-5</v>
      </c>
    </row>
    <row r="11" spans="1:24" x14ac:dyDescent="0.2">
      <c r="A11">
        <f t="shared" si="7"/>
        <v>10</v>
      </c>
      <c r="B11" s="2">
        <f t="shared" si="8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6">
        <v>3.9</v>
      </c>
      <c r="H11" s="5">
        <v>10</v>
      </c>
      <c r="I11" s="7" t="s">
        <v>11</v>
      </c>
      <c r="J11" s="8" t="s">
        <v>14</v>
      </c>
      <c r="K11">
        <v>210</v>
      </c>
      <c r="L11">
        <v>99.718584231845142</v>
      </c>
      <c r="M11">
        <v>100.21874096796265</v>
      </c>
      <c r="N11">
        <f t="shared" si="0"/>
        <v>0</v>
      </c>
      <c r="O11">
        <f t="shared" si="1"/>
        <v>0</v>
      </c>
      <c r="P11">
        <f t="shared" si="2"/>
        <v>1</v>
      </c>
      <c r="Q11">
        <f t="shared" si="3"/>
        <v>1</v>
      </c>
      <c r="R11">
        <f t="shared" si="4"/>
        <v>0</v>
      </c>
      <c r="S11">
        <v>0</v>
      </c>
      <c r="T11">
        <f t="shared" si="5"/>
        <v>-4.7983005909802229E-2</v>
      </c>
      <c r="U11">
        <v>-1.0376739233459145</v>
      </c>
      <c r="V11">
        <f t="shared" si="6"/>
        <v>-0.98969091743611226</v>
      </c>
      <c r="W11" s="50" t="s">
        <v>34</v>
      </c>
      <c r="X11">
        <v>0.33609600000000001</v>
      </c>
    </row>
    <row r="12" spans="1:24" x14ac:dyDescent="0.2">
      <c r="A12">
        <f t="shared" si="7"/>
        <v>11</v>
      </c>
      <c r="B12" s="2">
        <f t="shared" si="8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6">
        <v>3.9</v>
      </c>
      <c r="H12" s="5">
        <v>10</v>
      </c>
      <c r="I12" s="7" t="s">
        <v>11</v>
      </c>
      <c r="J12" s="8" t="s">
        <v>16</v>
      </c>
      <c r="K12">
        <v>1141</v>
      </c>
      <c r="L12">
        <v>186.63118908550243</v>
      </c>
      <c r="M12">
        <v>186.89890513180796</v>
      </c>
      <c r="N12">
        <f t="shared" si="0"/>
        <v>0</v>
      </c>
      <c r="O12">
        <f t="shared" si="1"/>
        <v>0</v>
      </c>
      <c r="P12">
        <f t="shared" si="2"/>
        <v>1</v>
      </c>
      <c r="Q12">
        <f t="shared" si="3"/>
        <v>1</v>
      </c>
      <c r="R12">
        <f t="shared" si="4"/>
        <v>0</v>
      </c>
      <c r="S12">
        <v>1</v>
      </c>
      <c r="T12">
        <f t="shared" si="5"/>
        <v>-0.6994494133487662</v>
      </c>
      <c r="U12">
        <v>-1.9688887013989189</v>
      </c>
      <c r="V12">
        <f t="shared" si="6"/>
        <v>-1.2694392880501528</v>
      </c>
      <c r="W12" s="50" t="s">
        <v>35</v>
      </c>
      <c r="X12">
        <v>-0.11526</v>
      </c>
    </row>
    <row r="13" spans="1:24" x14ac:dyDescent="0.2">
      <c r="A13">
        <f t="shared" si="7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6">
        <v>4</v>
      </c>
      <c r="H13" s="5">
        <v>24</v>
      </c>
      <c r="I13" s="7" t="s">
        <v>11</v>
      </c>
      <c r="J13" s="8" t="s">
        <v>18</v>
      </c>
      <c r="K13">
        <v>283</v>
      </c>
      <c r="L13">
        <v>71.326978734067708</v>
      </c>
      <c r="M13">
        <v>75.256480753023169</v>
      </c>
      <c r="N13">
        <f t="shared" si="0"/>
        <v>0</v>
      </c>
      <c r="O13">
        <f t="shared" si="1"/>
        <v>0</v>
      </c>
      <c r="P13">
        <f t="shared" si="2"/>
        <v>1</v>
      </c>
      <c r="Q13">
        <f t="shared" si="3"/>
        <v>1</v>
      </c>
      <c r="R13">
        <f t="shared" si="4"/>
        <v>0</v>
      </c>
      <c r="S13">
        <v>0</v>
      </c>
      <c r="T13">
        <f t="shared" si="5"/>
        <v>0.17912551327251508</v>
      </c>
      <c r="U13">
        <v>0.15279126245766986</v>
      </c>
      <c r="V13">
        <f t="shared" si="6"/>
        <v>-2.6334250814845223E-2</v>
      </c>
      <c r="W13" s="50" t="s">
        <v>36</v>
      </c>
      <c r="X13">
        <v>0.61210699999999996</v>
      </c>
    </row>
    <row r="14" spans="1:24" x14ac:dyDescent="0.2">
      <c r="A14" s="11">
        <f t="shared" si="7"/>
        <v>13</v>
      </c>
      <c r="B14" s="12">
        <f t="shared" si="8"/>
        <v>5</v>
      </c>
      <c r="C14" s="13">
        <v>42912</v>
      </c>
      <c r="D14" s="14" t="s">
        <v>19</v>
      </c>
      <c r="E14" s="15">
        <v>-8.44</v>
      </c>
      <c r="F14" s="15">
        <v>117.26</v>
      </c>
      <c r="G14" s="16">
        <v>3.8</v>
      </c>
      <c r="H14" s="15">
        <v>10</v>
      </c>
      <c r="I14" s="17" t="s">
        <v>11</v>
      </c>
      <c r="J14" s="18" t="s">
        <v>18</v>
      </c>
      <c r="K14">
        <v>283</v>
      </c>
      <c r="L14">
        <v>17.815188989454146</v>
      </c>
      <c r="M14">
        <v>20.429903541866473</v>
      </c>
      <c r="N14">
        <f t="shared" si="0"/>
        <v>0</v>
      </c>
      <c r="O14">
        <f t="shared" si="1"/>
        <v>0</v>
      </c>
      <c r="P14">
        <f t="shared" si="2"/>
        <v>1</v>
      </c>
      <c r="Q14">
        <f t="shared" si="3"/>
        <v>1</v>
      </c>
      <c r="R14">
        <f t="shared" si="4"/>
        <v>0</v>
      </c>
      <c r="S14">
        <v>0</v>
      </c>
      <c r="T14">
        <f t="shared" si="5"/>
        <v>0.76593589482490854</v>
      </c>
      <c r="U14">
        <v>0.23893734780316075</v>
      </c>
      <c r="V14">
        <f t="shared" si="6"/>
        <v>-0.52699854702174775</v>
      </c>
      <c r="W14" s="50" t="s">
        <v>48</v>
      </c>
      <c r="X14">
        <v>-0.36319899999999999</v>
      </c>
    </row>
    <row r="15" spans="1:24" ht="18" x14ac:dyDescent="0.25">
      <c r="A15">
        <f t="shared" si="7"/>
        <v>14</v>
      </c>
      <c r="B15" s="2">
        <f t="shared" si="8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6">
        <v>5.0999999999999996</v>
      </c>
      <c r="H15" s="5">
        <v>30</v>
      </c>
      <c r="I15" s="7" t="s">
        <v>20</v>
      </c>
      <c r="J15" s="8" t="s">
        <v>12</v>
      </c>
      <c r="K15">
        <v>386</v>
      </c>
      <c r="L15">
        <v>73.482911519556041</v>
      </c>
      <c r="M15">
        <v>79.370890667743566</v>
      </c>
      <c r="N15">
        <f t="shared" si="0"/>
        <v>0</v>
      </c>
      <c r="O15">
        <f t="shared" si="1"/>
        <v>1</v>
      </c>
      <c r="P15">
        <f t="shared" si="2"/>
        <v>0</v>
      </c>
      <c r="Q15">
        <f t="shared" si="3"/>
        <v>1</v>
      </c>
      <c r="R15">
        <f t="shared" si="4"/>
        <v>0</v>
      </c>
      <c r="S15">
        <v>0</v>
      </c>
      <c r="T15">
        <f t="shared" si="5"/>
        <v>1.2008524272938785</v>
      </c>
      <c r="U15">
        <v>0.88970420769698322</v>
      </c>
      <c r="V15">
        <f t="shared" si="6"/>
        <v>-0.31114821959689531</v>
      </c>
      <c r="W15" s="50" t="s">
        <v>40</v>
      </c>
      <c r="X15">
        <v>-3.807E-2</v>
      </c>
    </row>
    <row r="16" spans="1:24" ht="18" x14ac:dyDescent="0.25">
      <c r="A16">
        <f t="shared" si="7"/>
        <v>15</v>
      </c>
      <c r="B16" s="2">
        <f t="shared" si="8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6">
        <v>5.0999999999999996</v>
      </c>
      <c r="H16" s="5">
        <v>30</v>
      </c>
      <c r="I16" s="7" t="s">
        <v>20</v>
      </c>
      <c r="J16" s="8" t="s">
        <v>13</v>
      </c>
      <c r="K16">
        <v>290</v>
      </c>
      <c r="L16">
        <v>86.954160124792679</v>
      </c>
      <c r="M16">
        <v>91.983835335389699</v>
      </c>
      <c r="N16">
        <f t="shared" si="0"/>
        <v>0</v>
      </c>
      <c r="O16">
        <f t="shared" si="1"/>
        <v>1</v>
      </c>
      <c r="P16">
        <f t="shared" si="2"/>
        <v>0</v>
      </c>
      <c r="Q16">
        <f t="shared" si="3"/>
        <v>1</v>
      </c>
      <c r="R16">
        <f t="shared" si="4"/>
        <v>0</v>
      </c>
      <c r="S16">
        <v>0</v>
      </c>
      <c r="T16">
        <f t="shared" si="5"/>
        <v>1.155699309975089</v>
      </c>
      <c r="U16">
        <v>1.1563117434400789</v>
      </c>
      <c r="V16">
        <f t="shared" si="6"/>
        <v>6.1243346498995876E-4</v>
      </c>
      <c r="W16" s="50" t="s">
        <v>41</v>
      </c>
      <c r="X16">
        <v>0.10481799999999999</v>
      </c>
    </row>
    <row r="17" spans="1:24" ht="18" x14ac:dyDescent="0.25">
      <c r="A17">
        <f t="shared" si="7"/>
        <v>16</v>
      </c>
      <c r="B17" s="2">
        <f t="shared" si="8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6">
        <v>5.0999999999999996</v>
      </c>
      <c r="H17" s="5">
        <v>30</v>
      </c>
      <c r="I17" s="7" t="s">
        <v>20</v>
      </c>
      <c r="J17" s="8" t="s">
        <v>18</v>
      </c>
      <c r="K17">
        <v>283</v>
      </c>
      <c r="L17">
        <v>167.80782469041785</v>
      </c>
      <c r="M17">
        <v>170.4683725132906</v>
      </c>
      <c r="N17">
        <f t="shared" si="0"/>
        <v>0</v>
      </c>
      <c r="O17">
        <f t="shared" si="1"/>
        <v>1</v>
      </c>
      <c r="P17">
        <f t="shared" si="2"/>
        <v>0</v>
      </c>
      <c r="Q17">
        <f t="shared" si="3"/>
        <v>1</v>
      </c>
      <c r="R17">
        <f t="shared" si="4"/>
        <v>0</v>
      </c>
      <c r="S17">
        <v>1</v>
      </c>
      <c r="T17">
        <f t="shared" si="5"/>
        <v>0.7800590484476505</v>
      </c>
      <c r="U17">
        <v>-5.9182519745096746E-3</v>
      </c>
      <c r="V17">
        <f t="shared" si="6"/>
        <v>-0.78597730042216019</v>
      </c>
      <c r="W17" s="50" t="s">
        <v>42</v>
      </c>
      <c r="X17">
        <v>-6.6750000000000004E-2</v>
      </c>
    </row>
    <row r="18" spans="1:24" x14ac:dyDescent="0.2">
      <c r="A18">
        <f t="shared" si="7"/>
        <v>17</v>
      </c>
      <c r="B18" s="2">
        <f t="shared" si="8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6">
        <v>5.0999999999999996</v>
      </c>
      <c r="H18" s="5">
        <v>30</v>
      </c>
      <c r="I18" s="7" t="s">
        <v>20</v>
      </c>
      <c r="J18" s="8" t="s">
        <v>16</v>
      </c>
      <c r="K18">
        <v>1141</v>
      </c>
      <c r="L18">
        <v>232.99229188908313</v>
      </c>
      <c r="M18">
        <v>234.91574676834185</v>
      </c>
      <c r="N18">
        <f t="shared" si="0"/>
        <v>0</v>
      </c>
      <c r="O18">
        <f t="shared" si="1"/>
        <v>1</v>
      </c>
      <c r="P18">
        <f t="shared" si="2"/>
        <v>0</v>
      </c>
      <c r="Q18">
        <f t="shared" si="3"/>
        <v>1</v>
      </c>
      <c r="R18">
        <f t="shared" si="4"/>
        <v>0</v>
      </c>
      <c r="S18">
        <v>1</v>
      </c>
      <c r="T18">
        <f t="shared" si="5"/>
        <v>0.36139760523934483</v>
      </c>
      <c r="U18">
        <v>-0.52924516523925946</v>
      </c>
      <c r="V18">
        <f t="shared" si="6"/>
        <v>-0.8906427704786043</v>
      </c>
    </row>
    <row r="19" spans="1:24" x14ac:dyDescent="0.2">
      <c r="A19">
        <f t="shared" si="7"/>
        <v>18</v>
      </c>
      <c r="B19" s="2">
        <f t="shared" si="8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6">
        <v>4.9000000000000004</v>
      </c>
      <c r="H19" s="5">
        <v>17</v>
      </c>
      <c r="I19" s="7" t="s">
        <v>20</v>
      </c>
      <c r="J19" s="8" t="s">
        <v>13</v>
      </c>
      <c r="K19">
        <v>290</v>
      </c>
      <c r="L19">
        <v>87.504747432513781</v>
      </c>
      <c r="M19">
        <v>89.140792139334437</v>
      </c>
      <c r="N19">
        <f t="shared" si="0"/>
        <v>0</v>
      </c>
      <c r="O19">
        <f t="shared" si="1"/>
        <v>1</v>
      </c>
      <c r="P19">
        <f t="shared" si="2"/>
        <v>0</v>
      </c>
      <c r="Q19">
        <f t="shared" si="3"/>
        <v>1</v>
      </c>
      <c r="R19">
        <f t="shared" si="4"/>
        <v>0</v>
      </c>
      <c r="S19">
        <v>0</v>
      </c>
      <c r="T19">
        <f t="shared" si="5"/>
        <v>1.0262542342132477</v>
      </c>
      <c r="U19">
        <v>1.2319349890111213</v>
      </c>
      <c r="V19">
        <f t="shared" si="6"/>
        <v>0.20568075479787362</v>
      </c>
    </row>
    <row r="20" spans="1:24" x14ac:dyDescent="0.2">
      <c r="A20" s="11">
        <f t="shared" si="7"/>
        <v>19</v>
      </c>
      <c r="B20" s="12">
        <f t="shared" si="8"/>
        <v>7</v>
      </c>
      <c r="C20" s="13">
        <v>43130</v>
      </c>
      <c r="D20" s="14">
        <v>8.3715277777777777E-2</v>
      </c>
      <c r="E20" s="15">
        <v>-7.9</v>
      </c>
      <c r="F20" s="15">
        <v>118.82</v>
      </c>
      <c r="G20" s="16">
        <v>4.9000000000000004</v>
      </c>
      <c r="H20" s="15">
        <v>17</v>
      </c>
      <c r="I20" s="17" t="s">
        <v>20</v>
      </c>
      <c r="J20" s="18" t="s">
        <v>16</v>
      </c>
      <c r="K20">
        <v>1141</v>
      </c>
      <c r="L20">
        <v>234.58300285380335</v>
      </c>
      <c r="M20">
        <v>235.198182875437</v>
      </c>
      <c r="N20">
        <f t="shared" si="0"/>
        <v>0</v>
      </c>
      <c r="O20">
        <f t="shared" si="1"/>
        <v>1</v>
      </c>
      <c r="P20">
        <f t="shared" si="2"/>
        <v>0</v>
      </c>
      <c r="Q20">
        <f t="shared" si="3"/>
        <v>1</v>
      </c>
      <c r="R20">
        <f t="shared" si="4"/>
        <v>0</v>
      </c>
      <c r="S20">
        <v>1</v>
      </c>
      <c r="T20">
        <f t="shared" si="5"/>
        <v>0.21181018875378202</v>
      </c>
      <c r="U20">
        <v>-0.28557606663294238</v>
      </c>
      <c r="V20">
        <f t="shared" si="6"/>
        <v>-0.49738625538672443</v>
      </c>
    </row>
    <row r="21" spans="1:24" x14ac:dyDescent="0.2">
      <c r="A21" s="11">
        <f t="shared" si="7"/>
        <v>20</v>
      </c>
      <c r="B21" s="12">
        <f t="shared" si="8"/>
        <v>8</v>
      </c>
      <c r="C21" s="13">
        <v>43133</v>
      </c>
      <c r="D21" s="14">
        <v>0.24946759259182727</v>
      </c>
      <c r="E21" s="15">
        <v>-7.98</v>
      </c>
      <c r="F21" s="15">
        <v>115.88</v>
      </c>
      <c r="G21" s="16">
        <v>4.7</v>
      </c>
      <c r="H21" s="15">
        <v>27</v>
      </c>
      <c r="I21" s="17" t="s">
        <v>11</v>
      </c>
      <c r="J21" s="18" t="s">
        <v>16</v>
      </c>
      <c r="K21">
        <v>1141</v>
      </c>
      <c r="L21">
        <v>139.59393854085613</v>
      </c>
      <c r="M21">
        <v>142.18110872175782</v>
      </c>
      <c r="N21">
        <f t="shared" si="0"/>
        <v>0</v>
      </c>
      <c r="O21">
        <f t="shared" si="1"/>
        <v>0</v>
      </c>
      <c r="P21">
        <f t="shared" si="2"/>
        <v>1</v>
      </c>
      <c r="Q21">
        <f t="shared" si="3"/>
        <v>1</v>
      </c>
      <c r="R21">
        <f t="shared" si="4"/>
        <v>0</v>
      </c>
      <c r="S21">
        <v>1</v>
      </c>
      <c r="T21">
        <f t="shared" si="5"/>
        <v>0.19380672218068631</v>
      </c>
      <c r="U21">
        <v>-0.57025493098356073</v>
      </c>
      <c r="V21">
        <f t="shared" si="6"/>
        <v>-0.76406165316424701</v>
      </c>
    </row>
    <row r="22" spans="1:24" x14ac:dyDescent="0.2">
      <c r="A22">
        <f t="shared" si="7"/>
        <v>21</v>
      </c>
      <c r="B22" s="2">
        <f t="shared" si="8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6">
        <v>3.6</v>
      </c>
      <c r="H22" s="5">
        <v>10</v>
      </c>
      <c r="I22" s="7" t="s">
        <v>20</v>
      </c>
      <c r="J22" s="8" t="s">
        <v>16</v>
      </c>
      <c r="K22">
        <v>1141</v>
      </c>
      <c r="L22">
        <v>94.330220972540559</v>
      </c>
      <c r="M22">
        <v>94.858792890950966</v>
      </c>
      <c r="N22">
        <f t="shared" si="0"/>
        <v>0</v>
      </c>
      <c r="O22">
        <f t="shared" si="1"/>
        <v>1</v>
      </c>
      <c r="P22">
        <f t="shared" si="2"/>
        <v>0</v>
      </c>
      <c r="Q22">
        <f t="shared" si="3"/>
        <v>1</v>
      </c>
      <c r="R22">
        <f t="shared" si="4"/>
        <v>0</v>
      </c>
      <c r="S22">
        <v>1</v>
      </c>
      <c r="T22">
        <f t="shared" si="5"/>
        <v>-0.41910926560042694</v>
      </c>
      <c r="U22">
        <v>-0.63600833272450363</v>
      </c>
      <c r="V22">
        <f t="shared" si="6"/>
        <v>-0.21689906712407669</v>
      </c>
    </row>
    <row r="23" spans="1:24" x14ac:dyDescent="0.2">
      <c r="A23" s="19">
        <f t="shared" si="7"/>
        <v>22</v>
      </c>
      <c r="B23" s="20">
        <f t="shared" si="8"/>
        <v>10</v>
      </c>
      <c r="C23" s="21">
        <v>43309</v>
      </c>
      <c r="D23" s="22">
        <v>0.94975694445020054</v>
      </c>
      <c r="E23" s="23">
        <v>-8.2799999999999994</v>
      </c>
      <c r="F23" s="23">
        <v>116.51</v>
      </c>
      <c r="G23" s="24">
        <v>6.5</v>
      </c>
      <c r="H23" s="23">
        <v>13</v>
      </c>
      <c r="I23" s="25" t="s">
        <v>20</v>
      </c>
      <c r="J23" s="26" t="s">
        <v>18</v>
      </c>
      <c r="K23">
        <v>283</v>
      </c>
      <c r="L23">
        <v>102.95038203100468</v>
      </c>
      <c r="M23">
        <v>103.76791970705499</v>
      </c>
      <c r="N23">
        <f t="shared" si="0"/>
        <v>0</v>
      </c>
      <c r="O23">
        <f t="shared" si="1"/>
        <v>1</v>
      </c>
      <c r="P23">
        <f t="shared" si="2"/>
        <v>0</v>
      </c>
      <c r="Q23">
        <f t="shared" si="3"/>
        <v>1</v>
      </c>
      <c r="R23">
        <f t="shared" si="4"/>
        <v>0</v>
      </c>
      <c r="S23">
        <v>0</v>
      </c>
      <c r="T23">
        <f t="shared" si="5"/>
        <v>1.8683693752809136</v>
      </c>
      <c r="U23">
        <v>1.4382105427865679</v>
      </c>
      <c r="V23">
        <f t="shared" si="6"/>
        <v>-0.43015883249434572</v>
      </c>
    </row>
    <row r="24" spans="1:24" x14ac:dyDescent="0.2">
      <c r="A24">
        <f t="shared" si="7"/>
        <v>23</v>
      </c>
      <c r="B24" s="2">
        <f t="shared" si="8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6">
        <v>4.9000000000000004</v>
      </c>
      <c r="H24" s="5">
        <v>10</v>
      </c>
      <c r="I24" s="7" t="s">
        <v>20</v>
      </c>
      <c r="J24" s="8" t="s">
        <v>18</v>
      </c>
      <c r="K24">
        <v>283</v>
      </c>
      <c r="L24">
        <v>103.61008734061461</v>
      </c>
      <c r="M24">
        <v>104.09154720115264</v>
      </c>
      <c r="N24">
        <f t="shared" si="0"/>
        <v>0</v>
      </c>
      <c r="O24">
        <f t="shared" si="1"/>
        <v>1</v>
      </c>
      <c r="P24">
        <f t="shared" si="2"/>
        <v>0</v>
      </c>
      <c r="Q24">
        <f t="shared" si="3"/>
        <v>1</v>
      </c>
      <c r="R24">
        <f t="shared" si="4"/>
        <v>0</v>
      </c>
      <c r="S24">
        <v>1</v>
      </c>
      <c r="T24">
        <f t="shared" si="5"/>
        <v>0.93504309074474812</v>
      </c>
      <c r="U24">
        <v>0.25704044882867688</v>
      </c>
      <c r="V24">
        <f t="shared" si="6"/>
        <v>-0.67800264191607118</v>
      </c>
    </row>
    <row r="25" spans="1:24" x14ac:dyDescent="0.2">
      <c r="A25">
        <f t="shared" si="7"/>
        <v>24</v>
      </c>
      <c r="B25" s="2">
        <f t="shared" si="8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6">
        <v>5.4</v>
      </c>
      <c r="H25" s="5">
        <v>10</v>
      </c>
      <c r="I25" s="7" t="s">
        <v>20</v>
      </c>
      <c r="J25" s="8" t="s">
        <v>13</v>
      </c>
      <c r="K25">
        <v>290</v>
      </c>
      <c r="L25">
        <v>208.12715043998526</v>
      </c>
      <c r="M25">
        <v>208.36724970654157</v>
      </c>
      <c r="N25">
        <f t="shared" si="0"/>
        <v>0</v>
      </c>
      <c r="O25">
        <f t="shared" si="1"/>
        <v>1</v>
      </c>
      <c r="P25">
        <f t="shared" si="2"/>
        <v>0</v>
      </c>
      <c r="Q25">
        <f t="shared" si="3"/>
        <v>1</v>
      </c>
      <c r="R25">
        <f t="shared" si="4"/>
        <v>0</v>
      </c>
      <c r="S25">
        <v>1</v>
      </c>
      <c r="T25">
        <f t="shared" si="5"/>
        <v>0.85787054268906682</v>
      </c>
      <c r="U25">
        <v>0.3407088518358552</v>
      </c>
      <c r="V25">
        <f t="shared" si="6"/>
        <v>-0.51716169085321162</v>
      </c>
    </row>
    <row r="26" spans="1:24" x14ac:dyDescent="0.2">
      <c r="A26">
        <f t="shared" si="7"/>
        <v>25</v>
      </c>
      <c r="B26" s="2">
        <f t="shared" si="8"/>
        <v>12</v>
      </c>
      <c r="C26" s="27">
        <v>43310</v>
      </c>
      <c r="D26" s="28">
        <v>7.6759259259259263E-2</v>
      </c>
      <c r="E26" s="29">
        <v>-8.2200000000000006</v>
      </c>
      <c r="F26" s="29">
        <v>116.46</v>
      </c>
      <c r="G26" s="6">
        <v>5.4</v>
      </c>
      <c r="H26" s="29">
        <v>10</v>
      </c>
      <c r="I26" s="2" t="s">
        <v>20</v>
      </c>
      <c r="J26" s="8" t="s">
        <v>15</v>
      </c>
      <c r="K26">
        <v>770</v>
      </c>
      <c r="L26">
        <v>63.920882697035651</v>
      </c>
      <c r="M26">
        <v>64.698371268279942</v>
      </c>
      <c r="N26">
        <f t="shared" si="0"/>
        <v>0</v>
      </c>
      <c r="O26">
        <f t="shared" si="1"/>
        <v>1</v>
      </c>
      <c r="P26">
        <f t="shared" si="2"/>
        <v>0</v>
      </c>
      <c r="Q26">
        <f t="shared" si="3"/>
        <v>1</v>
      </c>
      <c r="R26">
        <f t="shared" si="4"/>
        <v>0</v>
      </c>
      <c r="S26">
        <v>1</v>
      </c>
      <c r="T26">
        <f t="shared" si="5"/>
        <v>1.4223661370407954</v>
      </c>
      <c r="U26">
        <v>0.37943235389781121</v>
      </c>
      <c r="V26">
        <f t="shared" si="6"/>
        <v>-1.0429337831429841</v>
      </c>
    </row>
    <row r="27" spans="1:24" x14ac:dyDescent="0.2">
      <c r="A27">
        <f t="shared" si="7"/>
        <v>26</v>
      </c>
      <c r="B27" s="2">
        <f t="shared" si="8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6">
        <v>5.4</v>
      </c>
      <c r="H27" s="5">
        <v>10</v>
      </c>
      <c r="I27" s="7" t="s">
        <v>20</v>
      </c>
      <c r="J27" s="8" t="s">
        <v>18</v>
      </c>
      <c r="K27">
        <v>283</v>
      </c>
      <c r="L27">
        <v>109.98524049130438</v>
      </c>
      <c r="M27">
        <v>110.43891128551594</v>
      </c>
      <c r="N27">
        <f t="shared" si="0"/>
        <v>0</v>
      </c>
      <c r="O27">
        <f t="shared" si="1"/>
        <v>1</v>
      </c>
      <c r="P27">
        <f t="shared" si="2"/>
        <v>0</v>
      </c>
      <c r="Q27">
        <f t="shared" si="3"/>
        <v>1</v>
      </c>
      <c r="R27">
        <f t="shared" si="4"/>
        <v>0</v>
      </c>
      <c r="S27">
        <v>1</v>
      </c>
      <c r="T27">
        <f t="shared" si="5"/>
        <v>1.2531889104020293</v>
      </c>
      <c r="U27">
        <v>0.35412877789396718</v>
      </c>
      <c r="V27">
        <f t="shared" si="6"/>
        <v>-0.89906013250806205</v>
      </c>
    </row>
    <row r="28" spans="1:24" x14ac:dyDescent="0.2">
      <c r="A28">
        <f t="shared" si="7"/>
        <v>27</v>
      </c>
      <c r="B28" s="2">
        <f t="shared" si="8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6">
        <v>5.4</v>
      </c>
      <c r="H28" s="5">
        <v>10</v>
      </c>
      <c r="I28" s="7" t="s">
        <v>20</v>
      </c>
      <c r="J28" s="8" t="s">
        <v>16</v>
      </c>
      <c r="K28">
        <v>1141</v>
      </c>
      <c r="L28">
        <v>74.238713416035168</v>
      </c>
      <c r="M28">
        <v>74.909188819985232</v>
      </c>
      <c r="N28">
        <f t="shared" si="0"/>
        <v>0</v>
      </c>
      <c r="O28">
        <f t="shared" si="1"/>
        <v>1</v>
      </c>
      <c r="P28">
        <f t="shared" si="2"/>
        <v>0</v>
      </c>
      <c r="Q28">
        <f t="shared" si="3"/>
        <v>1</v>
      </c>
      <c r="R28">
        <f t="shared" si="4"/>
        <v>0</v>
      </c>
      <c r="S28">
        <v>1</v>
      </c>
      <c r="T28">
        <f t="shared" si="5"/>
        <v>1.2709321444033232</v>
      </c>
      <c r="U28">
        <v>6.2660019639881256E-2</v>
      </c>
      <c r="V28">
        <f t="shared" si="6"/>
        <v>-1.208272124763442</v>
      </c>
    </row>
    <row r="29" spans="1:24" x14ac:dyDescent="0.2">
      <c r="A29">
        <f t="shared" si="7"/>
        <v>28</v>
      </c>
      <c r="B29" s="2">
        <f t="shared" si="8"/>
        <v>13</v>
      </c>
      <c r="C29" s="27">
        <v>43310</v>
      </c>
      <c r="D29" s="28">
        <v>0.48100694444444447</v>
      </c>
      <c r="E29" s="29">
        <v>-8.33</v>
      </c>
      <c r="F29" s="29">
        <v>116.43</v>
      </c>
      <c r="G29" s="6">
        <v>3.5</v>
      </c>
      <c r="H29" s="29">
        <v>10</v>
      </c>
      <c r="I29" s="2" t="s">
        <v>20</v>
      </c>
      <c r="J29" s="8" t="s">
        <v>15</v>
      </c>
      <c r="K29">
        <v>770</v>
      </c>
      <c r="L29">
        <v>51.276522104060916</v>
      </c>
      <c r="M29">
        <v>52.242527878044413</v>
      </c>
      <c r="N29">
        <f t="shared" si="0"/>
        <v>0</v>
      </c>
      <c r="O29">
        <f t="shared" si="1"/>
        <v>1</v>
      </c>
      <c r="P29">
        <f t="shared" si="2"/>
        <v>0</v>
      </c>
      <c r="Q29">
        <f t="shared" si="3"/>
        <v>1</v>
      </c>
      <c r="R29">
        <f t="shared" si="4"/>
        <v>0</v>
      </c>
      <c r="S29">
        <v>1</v>
      </c>
      <c r="T29">
        <f t="shared" si="5"/>
        <v>-9.9950504020773184E-2</v>
      </c>
      <c r="U29">
        <v>-0.84462620888688433</v>
      </c>
      <c r="V29">
        <f t="shared" si="6"/>
        <v>-0.74467570486611112</v>
      </c>
    </row>
    <row r="30" spans="1:24" x14ac:dyDescent="0.2">
      <c r="A30">
        <f t="shared" si="7"/>
        <v>29</v>
      </c>
      <c r="B30" s="2">
        <f t="shared" si="8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6">
        <v>4.2</v>
      </c>
      <c r="H30" s="5">
        <v>10</v>
      </c>
      <c r="I30" s="7" t="s">
        <v>20</v>
      </c>
      <c r="J30" s="8" t="s">
        <v>13</v>
      </c>
      <c r="K30">
        <v>290</v>
      </c>
      <c r="L30">
        <v>184.73212793909977</v>
      </c>
      <c r="M30">
        <v>185.00259212483465</v>
      </c>
      <c r="N30">
        <f t="shared" si="0"/>
        <v>0</v>
      </c>
      <c r="O30">
        <f t="shared" si="1"/>
        <v>1</v>
      </c>
      <c r="P30">
        <f t="shared" si="2"/>
        <v>0</v>
      </c>
      <c r="Q30">
        <f t="shared" si="3"/>
        <v>1</v>
      </c>
      <c r="R30">
        <f t="shared" si="4"/>
        <v>0</v>
      </c>
      <c r="S30">
        <v>0</v>
      </c>
      <c r="T30">
        <f t="shared" si="5"/>
        <v>-1.660019688620018E-2</v>
      </c>
      <c r="U30">
        <v>-0.77131290564664756</v>
      </c>
      <c r="V30">
        <f t="shared" si="6"/>
        <v>-0.75471270876044738</v>
      </c>
    </row>
    <row r="31" spans="1:24" x14ac:dyDescent="0.2">
      <c r="A31" s="19">
        <f t="shared" si="7"/>
        <v>30</v>
      </c>
      <c r="B31" s="20">
        <f t="shared" si="8"/>
        <v>15</v>
      </c>
      <c r="C31" s="30">
        <v>43317</v>
      </c>
      <c r="D31" s="31">
        <v>0.49070601851851853</v>
      </c>
      <c r="E31" s="32">
        <v>-8.2899999999999991</v>
      </c>
      <c r="F31" s="32">
        <v>116.48</v>
      </c>
      <c r="G31" s="24">
        <v>6.9</v>
      </c>
      <c r="H31" s="32">
        <v>17.8</v>
      </c>
      <c r="I31" s="20" t="s">
        <v>20</v>
      </c>
      <c r="J31" s="26" t="s">
        <v>15</v>
      </c>
      <c r="K31">
        <v>770</v>
      </c>
      <c r="L31">
        <v>57.419723907976618</v>
      </c>
      <c r="M31">
        <v>60.115428083548252</v>
      </c>
      <c r="N31">
        <f t="shared" si="0"/>
        <v>0</v>
      </c>
      <c r="O31">
        <f t="shared" si="1"/>
        <v>1</v>
      </c>
      <c r="P31">
        <f t="shared" si="2"/>
        <v>0</v>
      </c>
      <c r="Q31">
        <f t="shared" si="3"/>
        <v>0</v>
      </c>
      <c r="R31">
        <f t="shared" si="4"/>
        <v>1</v>
      </c>
      <c r="S31">
        <v>1</v>
      </c>
      <c r="T31">
        <f t="shared" si="5"/>
        <v>2.2280112869491528</v>
      </c>
      <c r="U31">
        <v>1.7555709443206728</v>
      </c>
      <c r="V31">
        <f t="shared" si="6"/>
        <v>-0.47244034262848</v>
      </c>
    </row>
    <row r="32" spans="1:24" x14ac:dyDescent="0.2">
      <c r="A32" s="19">
        <f t="shared" si="7"/>
        <v>31</v>
      </c>
      <c r="B32" s="20">
        <f t="shared" si="8"/>
        <v>15</v>
      </c>
      <c r="C32" s="21">
        <v>43317</v>
      </c>
      <c r="D32" s="22">
        <v>0.49070601851851853</v>
      </c>
      <c r="E32" s="32">
        <v>-8.2899999999999991</v>
      </c>
      <c r="F32" s="23">
        <v>116.48</v>
      </c>
      <c r="G32" s="24">
        <v>6.9</v>
      </c>
      <c r="H32" s="32">
        <v>17.8</v>
      </c>
      <c r="I32" s="25" t="s">
        <v>20</v>
      </c>
      <c r="J32" s="26" t="s">
        <v>18</v>
      </c>
      <c r="K32">
        <v>283</v>
      </c>
      <c r="L32">
        <v>105.96476647702214</v>
      </c>
      <c r="M32">
        <v>107.44939150376719</v>
      </c>
      <c r="N32">
        <f t="shared" si="0"/>
        <v>0</v>
      </c>
      <c r="O32">
        <f t="shared" si="1"/>
        <v>1</v>
      </c>
      <c r="P32">
        <f t="shared" si="2"/>
        <v>0</v>
      </c>
      <c r="Q32">
        <f t="shared" si="3"/>
        <v>0</v>
      </c>
      <c r="R32">
        <f t="shared" si="4"/>
        <v>1</v>
      </c>
      <c r="S32">
        <v>0</v>
      </c>
      <c r="T32">
        <f t="shared" si="5"/>
        <v>2.0316698594352003</v>
      </c>
      <c r="U32">
        <v>1.3560687130676405</v>
      </c>
      <c r="V32">
        <f t="shared" si="6"/>
        <v>-0.67560114636755975</v>
      </c>
    </row>
    <row r="33" spans="1:22" x14ac:dyDescent="0.2">
      <c r="A33" s="19">
        <f t="shared" si="7"/>
        <v>32</v>
      </c>
      <c r="B33" s="20">
        <f t="shared" si="8"/>
        <v>15</v>
      </c>
      <c r="C33" s="21">
        <v>43317</v>
      </c>
      <c r="D33" s="22">
        <v>0.49070601851851853</v>
      </c>
      <c r="E33" s="32">
        <v>-8.2899999999999991</v>
      </c>
      <c r="F33" s="23">
        <v>116.48</v>
      </c>
      <c r="G33" s="24">
        <v>6.9</v>
      </c>
      <c r="H33" s="32">
        <v>17.8</v>
      </c>
      <c r="I33" s="25" t="s">
        <v>20</v>
      </c>
      <c r="J33" s="26" t="s">
        <v>16</v>
      </c>
      <c r="K33">
        <v>1141</v>
      </c>
      <c r="L33">
        <v>66.881610355374306</v>
      </c>
      <c r="M33">
        <v>69.20975222992864</v>
      </c>
      <c r="N33">
        <f t="shared" si="0"/>
        <v>0</v>
      </c>
      <c r="O33">
        <f t="shared" si="1"/>
        <v>1</v>
      </c>
      <c r="P33">
        <f t="shared" si="2"/>
        <v>0</v>
      </c>
      <c r="Q33">
        <f t="shared" si="3"/>
        <v>0</v>
      </c>
      <c r="R33">
        <f t="shared" si="4"/>
        <v>1</v>
      </c>
      <c r="S33">
        <v>1</v>
      </c>
      <c r="T33">
        <f t="shared" si="5"/>
        <v>2.0803081077593069</v>
      </c>
      <c r="U33">
        <v>1.2880063782305919</v>
      </c>
      <c r="V33">
        <f t="shared" si="6"/>
        <v>-0.79230172952871492</v>
      </c>
    </row>
    <row r="34" spans="1:22" x14ac:dyDescent="0.2">
      <c r="A34">
        <f t="shared" si="7"/>
        <v>33</v>
      </c>
      <c r="B34" s="2">
        <f t="shared" si="8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6">
        <v>4.4000000000000004</v>
      </c>
      <c r="H34" s="5">
        <v>10</v>
      </c>
      <c r="I34" s="7" t="s">
        <v>20</v>
      </c>
      <c r="J34" s="8" t="s">
        <v>18</v>
      </c>
      <c r="K34">
        <v>283</v>
      </c>
      <c r="L34">
        <v>154.91870209025714</v>
      </c>
      <c r="M34">
        <v>155.24111651662983</v>
      </c>
      <c r="N34">
        <f t="shared" ref="N34:N65" si="9">IF(I34="normal",1,0)</f>
        <v>0</v>
      </c>
      <c r="O34">
        <f t="shared" ref="O34:O65" si="10">IF(I34="reverse",1,0)</f>
        <v>1</v>
      </c>
      <c r="P34">
        <f t="shared" si="2"/>
        <v>0</v>
      </c>
      <c r="Q34">
        <f t="shared" si="3"/>
        <v>1</v>
      </c>
      <c r="R34">
        <f t="shared" si="4"/>
        <v>0</v>
      </c>
      <c r="S34">
        <v>1</v>
      </c>
      <c r="T34">
        <f t="shared" si="5"/>
        <v>0.2768034538029428</v>
      </c>
      <c r="U34">
        <v>-0.46113547552913148</v>
      </c>
      <c r="V34">
        <f t="shared" si="6"/>
        <v>-0.73793892933207428</v>
      </c>
    </row>
    <row r="35" spans="1:22" x14ac:dyDescent="0.2">
      <c r="A35">
        <f t="shared" si="7"/>
        <v>34</v>
      </c>
      <c r="B35" s="2">
        <f t="shared" si="8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6">
        <v>5.0999999999999996</v>
      </c>
      <c r="H35" s="5">
        <v>23</v>
      </c>
      <c r="I35" s="7" t="s">
        <v>20</v>
      </c>
      <c r="J35" s="8" t="s">
        <v>18</v>
      </c>
      <c r="K35">
        <v>283</v>
      </c>
      <c r="L35">
        <v>153.83691687865382</v>
      </c>
      <c r="M35">
        <v>155.5467678697627</v>
      </c>
      <c r="N35">
        <f t="shared" si="9"/>
        <v>0</v>
      </c>
      <c r="O35">
        <f t="shared" si="10"/>
        <v>1</v>
      </c>
      <c r="P35">
        <f t="shared" si="2"/>
        <v>0</v>
      </c>
      <c r="Q35">
        <f t="shared" si="3"/>
        <v>1</v>
      </c>
      <c r="R35">
        <f t="shared" si="4"/>
        <v>0</v>
      </c>
      <c r="S35">
        <v>1</v>
      </c>
      <c r="T35">
        <f t="shared" si="5"/>
        <v>0.83662198635398999</v>
      </c>
      <c r="U35">
        <v>0.28869606384264845</v>
      </c>
      <c r="V35">
        <f t="shared" si="6"/>
        <v>-0.54792592251134153</v>
      </c>
    </row>
    <row r="36" spans="1:22" x14ac:dyDescent="0.2">
      <c r="A36">
        <f t="shared" si="7"/>
        <v>35</v>
      </c>
      <c r="B36" s="2">
        <f t="shared" si="8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6">
        <v>5.0999999999999996</v>
      </c>
      <c r="H36" s="5">
        <v>23</v>
      </c>
      <c r="I36" s="7" t="s">
        <v>20</v>
      </c>
      <c r="J36" s="8" t="s">
        <v>16</v>
      </c>
      <c r="K36">
        <v>1141</v>
      </c>
      <c r="L36">
        <v>101.03942513429189</v>
      </c>
      <c r="M36">
        <v>103.6241546719112</v>
      </c>
      <c r="N36">
        <f t="shared" si="9"/>
        <v>0</v>
      </c>
      <c r="O36">
        <f t="shared" si="10"/>
        <v>1</v>
      </c>
      <c r="P36">
        <f t="shared" si="2"/>
        <v>0</v>
      </c>
      <c r="Q36">
        <f t="shared" si="3"/>
        <v>1</v>
      </c>
      <c r="R36">
        <f t="shared" si="4"/>
        <v>0</v>
      </c>
      <c r="S36">
        <v>1</v>
      </c>
      <c r="T36">
        <f t="shared" si="5"/>
        <v>0.86658771207276963</v>
      </c>
      <c r="U36">
        <v>0.74227050697387731</v>
      </c>
      <c r="V36">
        <f t="shared" si="6"/>
        <v>-0.12431720509889232</v>
      </c>
    </row>
    <row r="37" spans="1:22" x14ac:dyDescent="0.2">
      <c r="A37">
        <f t="shared" si="7"/>
        <v>36</v>
      </c>
      <c r="B37" s="2">
        <f t="shared" si="8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6">
        <v>3.9</v>
      </c>
      <c r="H37" s="5">
        <v>10</v>
      </c>
      <c r="I37" s="7" t="s">
        <v>20</v>
      </c>
      <c r="J37" s="8" t="s">
        <v>16</v>
      </c>
      <c r="K37">
        <v>1141</v>
      </c>
      <c r="L37">
        <v>96.076875672391154</v>
      </c>
      <c r="M37">
        <v>96.595890383432504</v>
      </c>
      <c r="N37">
        <f t="shared" si="9"/>
        <v>0</v>
      </c>
      <c r="O37">
        <f t="shared" si="10"/>
        <v>1</v>
      </c>
      <c r="P37">
        <f t="shared" si="2"/>
        <v>0</v>
      </c>
      <c r="Q37">
        <f t="shared" si="3"/>
        <v>1</v>
      </c>
      <c r="R37">
        <f t="shared" si="4"/>
        <v>0</v>
      </c>
      <c r="S37">
        <v>1</v>
      </c>
      <c r="T37">
        <f t="shared" si="5"/>
        <v>-0.12077850688227584</v>
      </c>
      <c r="U37">
        <v>-1.0265854107499537</v>
      </c>
      <c r="V37">
        <f t="shared" si="6"/>
        <v>-0.90580690386767782</v>
      </c>
    </row>
    <row r="38" spans="1:22" x14ac:dyDescent="0.2">
      <c r="A38">
        <f t="shared" si="7"/>
        <v>37</v>
      </c>
      <c r="B38" s="2">
        <f t="shared" si="8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6">
        <v>4.4000000000000004</v>
      </c>
      <c r="H38" s="5">
        <v>11</v>
      </c>
      <c r="I38" s="7" t="s">
        <v>20</v>
      </c>
      <c r="J38" s="8" t="s">
        <v>13</v>
      </c>
      <c r="K38">
        <v>290</v>
      </c>
      <c r="L38">
        <v>254.16745999184849</v>
      </c>
      <c r="M38">
        <v>254.40538067955225</v>
      </c>
      <c r="N38">
        <f t="shared" si="9"/>
        <v>0</v>
      </c>
      <c r="O38">
        <f t="shared" si="10"/>
        <v>1</v>
      </c>
      <c r="P38">
        <f t="shared" si="2"/>
        <v>0</v>
      </c>
      <c r="Q38">
        <f t="shared" si="3"/>
        <v>1</v>
      </c>
      <c r="R38">
        <f t="shared" si="4"/>
        <v>0</v>
      </c>
      <c r="S38">
        <v>1</v>
      </c>
      <c r="T38">
        <f t="shared" si="5"/>
        <v>-3.346957984631771E-2</v>
      </c>
      <c r="U38">
        <v>-0.54313213059046361</v>
      </c>
      <c r="V38">
        <f t="shared" si="6"/>
        <v>-0.5096625507441459</v>
      </c>
    </row>
    <row r="39" spans="1:22" x14ac:dyDescent="0.2">
      <c r="A39">
        <f t="shared" si="7"/>
        <v>38</v>
      </c>
      <c r="B39" s="2">
        <f t="shared" si="8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6">
        <v>4.4000000000000004</v>
      </c>
      <c r="H39" s="5">
        <v>11</v>
      </c>
      <c r="I39" s="7" t="s">
        <v>20</v>
      </c>
      <c r="J39" s="8" t="s">
        <v>16</v>
      </c>
      <c r="K39">
        <v>1141</v>
      </c>
      <c r="L39">
        <v>104.48053403207783</v>
      </c>
      <c r="M39">
        <v>105.05799346850374</v>
      </c>
      <c r="N39">
        <f t="shared" si="9"/>
        <v>0</v>
      </c>
      <c r="O39">
        <f t="shared" si="10"/>
        <v>1</v>
      </c>
      <c r="P39">
        <f t="shared" si="2"/>
        <v>0</v>
      </c>
      <c r="Q39">
        <f t="shared" si="3"/>
        <v>1</v>
      </c>
      <c r="R39">
        <f t="shared" si="4"/>
        <v>0</v>
      </c>
      <c r="S39">
        <v>1</v>
      </c>
      <c r="T39">
        <f t="shared" si="5"/>
        <v>0.29735862174024685</v>
      </c>
      <c r="U39">
        <v>-2.8586932773538055E-2</v>
      </c>
      <c r="V39">
        <f t="shared" si="6"/>
        <v>-0.32594555451378493</v>
      </c>
    </row>
    <row r="40" spans="1:22" x14ac:dyDescent="0.2">
      <c r="A40">
        <f t="shared" si="7"/>
        <v>39</v>
      </c>
      <c r="B40" s="2">
        <f t="shared" si="8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6">
        <v>3.8</v>
      </c>
      <c r="H40" s="5">
        <v>14</v>
      </c>
      <c r="I40" s="7" t="s">
        <v>20</v>
      </c>
      <c r="J40" s="8" t="s">
        <v>16</v>
      </c>
      <c r="K40">
        <v>1141</v>
      </c>
      <c r="L40">
        <v>91.835397766047166</v>
      </c>
      <c r="M40">
        <v>92.896395424408695</v>
      </c>
      <c r="N40">
        <f t="shared" si="9"/>
        <v>0</v>
      </c>
      <c r="O40">
        <f t="shared" si="10"/>
        <v>1</v>
      </c>
      <c r="P40">
        <f t="shared" si="2"/>
        <v>0</v>
      </c>
      <c r="Q40">
        <f t="shared" si="3"/>
        <v>1</v>
      </c>
      <c r="R40">
        <f t="shared" si="4"/>
        <v>0</v>
      </c>
      <c r="S40">
        <v>1</v>
      </c>
      <c r="T40">
        <f t="shared" si="5"/>
        <v>-0.19765744534840887</v>
      </c>
      <c r="U40">
        <v>-0.80739163690697868</v>
      </c>
      <c r="V40">
        <f t="shared" si="6"/>
        <v>-0.60973419155856978</v>
      </c>
    </row>
    <row r="41" spans="1:22" x14ac:dyDescent="0.2">
      <c r="A41">
        <f t="shared" si="7"/>
        <v>40</v>
      </c>
      <c r="B41" s="2">
        <f t="shared" si="8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6">
        <v>4.5999999999999996</v>
      </c>
      <c r="H41" s="5">
        <v>12</v>
      </c>
      <c r="I41" s="7" t="s">
        <v>20</v>
      </c>
      <c r="J41" s="8" t="s">
        <v>13</v>
      </c>
      <c r="K41">
        <v>290</v>
      </c>
      <c r="L41">
        <v>240.35487107688945</v>
      </c>
      <c r="M41">
        <v>240.65424170454207</v>
      </c>
      <c r="N41">
        <f t="shared" si="9"/>
        <v>0</v>
      </c>
      <c r="O41">
        <f t="shared" si="10"/>
        <v>1</v>
      </c>
      <c r="P41">
        <f t="shared" si="2"/>
        <v>0</v>
      </c>
      <c r="Q41">
        <f t="shared" si="3"/>
        <v>1</v>
      </c>
      <c r="R41">
        <f t="shared" si="4"/>
        <v>0</v>
      </c>
      <c r="S41">
        <v>1</v>
      </c>
      <c r="T41">
        <f t="shared" si="5"/>
        <v>0.17305069131812312</v>
      </c>
      <c r="U41">
        <v>-0.63928726266665337</v>
      </c>
      <c r="V41">
        <f t="shared" si="6"/>
        <v>-0.81233795398477648</v>
      </c>
    </row>
    <row r="42" spans="1:22" x14ac:dyDescent="0.2">
      <c r="A42">
        <f t="shared" si="7"/>
        <v>41</v>
      </c>
      <c r="B42" s="2">
        <f t="shared" si="8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6">
        <v>4.5999999999999996</v>
      </c>
      <c r="H42" s="5">
        <v>12</v>
      </c>
      <c r="I42" s="7" t="s">
        <v>20</v>
      </c>
      <c r="J42" s="8" t="s">
        <v>18</v>
      </c>
      <c r="K42">
        <v>283</v>
      </c>
      <c r="L42">
        <v>141.11331413559105</v>
      </c>
      <c r="M42">
        <v>141.62262328572368</v>
      </c>
      <c r="N42">
        <f t="shared" si="9"/>
        <v>0</v>
      </c>
      <c r="O42">
        <f t="shared" si="10"/>
        <v>1</v>
      </c>
      <c r="P42">
        <f t="shared" si="2"/>
        <v>0</v>
      </c>
      <c r="Q42">
        <f t="shared" si="3"/>
        <v>1</v>
      </c>
      <c r="R42">
        <f t="shared" si="4"/>
        <v>0</v>
      </c>
      <c r="S42">
        <v>1</v>
      </c>
      <c r="T42">
        <f t="shared" si="5"/>
        <v>0.50527304697587816</v>
      </c>
      <c r="U42">
        <v>-0.35552002859499049</v>
      </c>
      <c r="V42">
        <f t="shared" si="6"/>
        <v>-0.86079307557086859</v>
      </c>
    </row>
    <row r="43" spans="1:22" x14ac:dyDescent="0.2">
      <c r="A43">
        <f t="shared" si="7"/>
        <v>42</v>
      </c>
      <c r="B43" s="2">
        <f t="shared" si="8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6">
        <v>6.1</v>
      </c>
      <c r="H43" s="5">
        <v>12</v>
      </c>
      <c r="I43" s="7" t="s">
        <v>20</v>
      </c>
      <c r="J43" s="8" t="s">
        <v>18</v>
      </c>
      <c r="K43">
        <v>283</v>
      </c>
      <c r="L43">
        <v>133.30300987573361</v>
      </c>
      <c r="M43">
        <v>133.8420428786483</v>
      </c>
      <c r="N43">
        <f t="shared" si="9"/>
        <v>0</v>
      </c>
      <c r="O43">
        <f t="shared" si="10"/>
        <v>1</v>
      </c>
      <c r="P43">
        <f t="shared" si="2"/>
        <v>0</v>
      </c>
      <c r="Q43">
        <f t="shared" si="3"/>
        <v>1</v>
      </c>
      <c r="R43">
        <f t="shared" si="4"/>
        <v>0</v>
      </c>
      <c r="S43">
        <v>1</v>
      </c>
      <c r="T43">
        <f t="shared" si="5"/>
        <v>1.5346509897682548</v>
      </c>
      <c r="U43">
        <v>0.83072082671019465</v>
      </c>
      <c r="V43">
        <f t="shared" si="6"/>
        <v>-0.70393016305806011</v>
      </c>
    </row>
    <row r="44" spans="1:22" x14ac:dyDescent="0.2">
      <c r="A44">
        <f t="shared" si="7"/>
        <v>43</v>
      </c>
      <c r="B44" s="2">
        <f t="shared" si="8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6">
        <v>6.1</v>
      </c>
      <c r="H44" s="5">
        <v>12</v>
      </c>
      <c r="I44" s="7" t="s">
        <v>20</v>
      </c>
      <c r="J44" s="8" t="s">
        <v>16</v>
      </c>
      <c r="K44">
        <v>1141</v>
      </c>
      <c r="L44">
        <v>84.698985891143934</v>
      </c>
      <c r="M44">
        <v>85.544831585480367</v>
      </c>
      <c r="N44">
        <f t="shared" si="9"/>
        <v>0</v>
      </c>
      <c r="O44">
        <f t="shared" si="10"/>
        <v>1</v>
      </c>
      <c r="P44">
        <f t="shared" si="2"/>
        <v>0</v>
      </c>
      <c r="Q44">
        <f t="shared" si="3"/>
        <v>1</v>
      </c>
      <c r="R44">
        <f t="shared" si="4"/>
        <v>0</v>
      </c>
      <c r="S44">
        <v>1</v>
      </c>
      <c r="T44">
        <f t="shared" si="5"/>
        <v>1.5890931646726989</v>
      </c>
      <c r="U44">
        <v>0.92389490268953434</v>
      </c>
      <c r="V44">
        <f t="shared" si="6"/>
        <v>-0.66519826198316456</v>
      </c>
    </row>
    <row r="45" spans="1:22" x14ac:dyDescent="0.2">
      <c r="A45">
        <f t="shared" si="7"/>
        <v>44</v>
      </c>
      <c r="B45" s="2">
        <f t="shared" si="8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6">
        <v>4.8</v>
      </c>
      <c r="H45" s="5">
        <v>10</v>
      </c>
      <c r="I45" s="7" t="s">
        <v>20</v>
      </c>
      <c r="J45" s="8" t="s">
        <v>13</v>
      </c>
      <c r="K45">
        <v>290</v>
      </c>
      <c r="L45">
        <v>209.11492183048009</v>
      </c>
      <c r="M45">
        <v>209.3538882661791</v>
      </c>
      <c r="N45">
        <f t="shared" si="9"/>
        <v>0</v>
      </c>
      <c r="O45">
        <f t="shared" si="10"/>
        <v>1</v>
      </c>
      <c r="P45">
        <f t="shared" si="2"/>
        <v>0</v>
      </c>
      <c r="Q45">
        <f t="shared" si="3"/>
        <v>1</v>
      </c>
      <c r="R45">
        <f t="shared" si="4"/>
        <v>0</v>
      </c>
      <c r="S45">
        <v>1</v>
      </c>
      <c r="T45">
        <f t="shared" si="5"/>
        <v>0.42231208805332365</v>
      </c>
      <c r="U45">
        <v>-0.45170818444574934</v>
      </c>
      <c r="V45">
        <f t="shared" si="6"/>
        <v>-0.87402027249907299</v>
      </c>
    </row>
    <row r="46" spans="1:22" x14ac:dyDescent="0.2">
      <c r="A46">
        <f t="shared" si="7"/>
        <v>45</v>
      </c>
      <c r="B46" s="2">
        <f t="shared" si="8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6">
        <v>4</v>
      </c>
      <c r="H46" s="5">
        <v>10</v>
      </c>
      <c r="I46" s="7" t="s">
        <v>20</v>
      </c>
      <c r="J46" s="8" t="s">
        <v>12</v>
      </c>
      <c r="K46">
        <v>386</v>
      </c>
      <c r="L46">
        <v>266.53643214013192</v>
      </c>
      <c r="M46">
        <v>266.72395778780572</v>
      </c>
      <c r="N46">
        <f t="shared" si="9"/>
        <v>0</v>
      </c>
      <c r="O46">
        <f t="shared" si="10"/>
        <v>1</v>
      </c>
      <c r="P46">
        <f t="shared" si="2"/>
        <v>0</v>
      </c>
      <c r="Q46">
        <f t="shared" si="3"/>
        <v>1</v>
      </c>
      <c r="R46">
        <f t="shared" si="4"/>
        <v>0</v>
      </c>
      <c r="S46">
        <v>1</v>
      </c>
      <c r="T46">
        <f t="shared" si="5"/>
        <v>-0.47956424052083146</v>
      </c>
      <c r="U46">
        <v>-0.10456574175776859</v>
      </c>
      <c r="V46">
        <f t="shared" si="6"/>
        <v>0.3749984987630629</v>
      </c>
    </row>
    <row r="47" spans="1:22" x14ac:dyDescent="0.2">
      <c r="A47">
        <f t="shared" si="7"/>
        <v>46</v>
      </c>
      <c r="B47" s="2">
        <f t="shared" si="8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6">
        <v>4</v>
      </c>
      <c r="H47" s="5">
        <v>10</v>
      </c>
      <c r="I47" s="7" t="s">
        <v>20</v>
      </c>
      <c r="J47" s="8" t="s">
        <v>18</v>
      </c>
      <c r="K47">
        <v>283</v>
      </c>
      <c r="L47">
        <v>125.86472859435281</v>
      </c>
      <c r="M47">
        <v>126.261355545274</v>
      </c>
      <c r="N47">
        <f t="shared" si="9"/>
        <v>0</v>
      </c>
      <c r="O47">
        <f t="shared" si="10"/>
        <v>1</v>
      </c>
      <c r="P47">
        <f t="shared" si="2"/>
        <v>0</v>
      </c>
      <c r="Q47">
        <f t="shared" si="3"/>
        <v>1</v>
      </c>
      <c r="R47">
        <f t="shared" si="4"/>
        <v>0</v>
      </c>
      <c r="S47">
        <v>1</v>
      </c>
      <c r="T47">
        <f t="shared" si="5"/>
        <v>3.2985390299004047E-2</v>
      </c>
      <c r="U47">
        <v>-0.33023693412012078</v>
      </c>
      <c r="V47">
        <f t="shared" si="6"/>
        <v>-0.36322232441912483</v>
      </c>
    </row>
    <row r="48" spans="1:22" x14ac:dyDescent="0.2">
      <c r="A48">
        <f t="shared" si="7"/>
        <v>47</v>
      </c>
      <c r="B48" s="2">
        <f t="shared" si="8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6">
        <v>4</v>
      </c>
      <c r="H48" s="5">
        <v>10</v>
      </c>
      <c r="I48" s="7" t="s">
        <v>20</v>
      </c>
      <c r="J48" s="8" t="s">
        <v>16</v>
      </c>
      <c r="K48">
        <v>1141</v>
      </c>
      <c r="L48">
        <v>87.215807594313191</v>
      </c>
      <c r="M48">
        <v>87.787226259452225</v>
      </c>
      <c r="N48">
        <f t="shared" si="9"/>
        <v>0</v>
      </c>
      <c r="O48">
        <f t="shared" si="10"/>
        <v>1</v>
      </c>
      <c r="P48">
        <f t="shared" si="2"/>
        <v>0</v>
      </c>
      <c r="Q48">
        <f t="shared" si="3"/>
        <v>1</v>
      </c>
      <c r="R48">
        <f t="shared" si="4"/>
        <v>0</v>
      </c>
      <c r="S48">
        <v>1</v>
      </c>
      <c r="T48">
        <f t="shared" si="5"/>
        <v>3.6435781198943445E-2</v>
      </c>
      <c r="U48">
        <v>-0.88296455516077965</v>
      </c>
      <c r="V48">
        <f t="shared" si="6"/>
        <v>-0.91940033635972307</v>
      </c>
    </row>
    <row r="49" spans="1:22" x14ac:dyDescent="0.2">
      <c r="A49">
        <f t="shared" si="7"/>
        <v>48</v>
      </c>
      <c r="B49" s="2">
        <f t="shared" si="8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6">
        <v>4.5</v>
      </c>
      <c r="H49" s="5">
        <v>10</v>
      </c>
      <c r="I49" s="7" t="s">
        <v>20</v>
      </c>
      <c r="J49" s="8" t="s">
        <v>16</v>
      </c>
      <c r="K49">
        <v>1141</v>
      </c>
      <c r="L49">
        <v>91.933864428229342</v>
      </c>
      <c r="M49">
        <v>92.47613437372938</v>
      </c>
      <c r="N49">
        <f t="shared" si="9"/>
        <v>0</v>
      </c>
      <c r="O49">
        <f t="shared" si="10"/>
        <v>1</v>
      </c>
      <c r="P49">
        <f t="shared" si="2"/>
        <v>0</v>
      </c>
      <c r="Q49">
        <f t="shared" si="3"/>
        <v>1</v>
      </c>
      <c r="R49">
        <f t="shared" si="4"/>
        <v>0</v>
      </c>
      <c r="S49">
        <v>1</v>
      </c>
      <c r="T49">
        <f t="shared" si="5"/>
        <v>0.46266461861693142</v>
      </c>
      <c r="U49">
        <v>3.4821767975410416E-2</v>
      </c>
      <c r="V49">
        <f t="shared" si="6"/>
        <v>-0.427842850641521</v>
      </c>
    </row>
    <row r="50" spans="1:22" x14ac:dyDescent="0.2">
      <c r="A50">
        <f t="shared" si="7"/>
        <v>49</v>
      </c>
      <c r="B50" s="2">
        <f t="shared" si="8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6">
        <v>4.5999999999999996</v>
      </c>
      <c r="H50" s="5">
        <v>10</v>
      </c>
      <c r="I50" s="7" t="s">
        <v>20</v>
      </c>
      <c r="J50" s="8" t="s">
        <v>13</v>
      </c>
      <c r="K50">
        <v>290</v>
      </c>
      <c r="L50">
        <v>192.58708677294078</v>
      </c>
      <c r="M50">
        <v>192.84653481898042</v>
      </c>
      <c r="N50">
        <f t="shared" si="9"/>
        <v>0</v>
      </c>
      <c r="O50">
        <f t="shared" si="10"/>
        <v>1</v>
      </c>
      <c r="P50">
        <f t="shared" si="2"/>
        <v>0</v>
      </c>
      <c r="Q50">
        <f t="shared" si="3"/>
        <v>1</v>
      </c>
      <c r="R50">
        <f t="shared" si="4"/>
        <v>0</v>
      </c>
      <c r="S50">
        <v>0</v>
      </c>
      <c r="T50">
        <f t="shared" si="5"/>
        <v>0.31059870249998256</v>
      </c>
      <c r="U50">
        <v>-0.17507109671162827</v>
      </c>
      <c r="V50">
        <f t="shared" si="6"/>
        <v>-0.4856697992116108</v>
      </c>
    </row>
    <row r="51" spans="1:22" x14ac:dyDescent="0.2">
      <c r="A51">
        <f t="shared" si="7"/>
        <v>50</v>
      </c>
      <c r="B51" s="2">
        <f t="shared" si="8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6">
        <v>4.5999999999999996</v>
      </c>
      <c r="H51" s="5">
        <v>10</v>
      </c>
      <c r="I51" s="7" t="s">
        <v>20</v>
      </c>
      <c r="J51" s="8" t="s">
        <v>18</v>
      </c>
      <c r="K51">
        <v>283</v>
      </c>
      <c r="L51">
        <v>94.763350515534441</v>
      </c>
      <c r="M51">
        <v>95.289519890332343</v>
      </c>
      <c r="N51">
        <f t="shared" si="9"/>
        <v>0</v>
      </c>
      <c r="O51">
        <f t="shared" si="10"/>
        <v>1</v>
      </c>
      <c r="P51">
        <f t="shared" si="2"/>
        <v>0</v>
      </c>
      <c r="Q51">
        <f t="shared" si="3"/>
        <v>1</v>
      </c>
      <c r="R51">
        <f t="shared" si="4"/>
        <v>0</v>
      </c>
      <c r="S51">
        <v>0</v>
      </c>
      <c r="T51">
        <f t="shared" si="5"/>
        <v>0.74891855987559386</v>
      </c>
      <c r="U51">
        <v>-0.11666543849235012</v>
      </c>
      <c r="V51">
        <f t="shared" si="6"/>
        <v>-0.86558399836794397</v>
      </c>
    </row>
    <row r="52" spans="1:22" x14ac:dyDescent="0.2">
      <c r="A52">
        <f t="shared" si="7"/>
        <v>51</v>
      </c>
      <c r="B52" s="2">
        <f t="shared" si="8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6">
        <v>4.5999999999999996</v>
      </c>
      <c r="H52" s="5">
        <v>10</v>
      </c>
      <c r="I52" s="7" t="s">
        <v>20</v>
      </c>
      <c r="J52" s="8" t="s">
        <v>16</v>
      </c>
      <c r="K52">
        <v>1141</v>
      </c>
      <c r="L52">
        <v>64.561395361687786</v>
      </c>
      <c r="M52">
        <v>65.331261820419186</v>
      </c>
      <c r="N52">
        <f t="shared" si="9"/>
        <v>0</v>
      </c>
      <c r="O52">
        <f t="shared" si="10"/>
        <v>1</v>
      </c>
      <c r="P52">
        <f t="shared" si="2"/>
        <v>0</v>
      </c>
      <c r="Q52">
        <f t="shared" si="3"/>
        <v>1</v>
      </c>
      <c r="R52">
        <f t="shared" si="4"/>
        <v>0</v>
      </c>
      <c r="S52">
        <v>0</v>
      </c>
      <c r="T52">
        <f t="shared" si="5"/>
        <v>0.75991900032125981</v>
      </c>
      <c r="U52">
        <v>-0.31419606363701508</v>
      </c>
      <c r="V52">
        <f t="shared" si="6"/>
        <v>-1.0741150639582748</v>
      </c>
    </row>
    <row r="53" spans="1:22" x14ac:dyDescent="0.2">
      <c r="A53">
        <f t="shared" si="7"/>
        <v>52</v>
      </c>
      <c r="B53" s="2">
        <f t="shared" si="8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6">
        <v>4.3</v>
      </c>
      <c r="H53" s="5">
        <v>10</v>
      </c>
      <c r="I53" s="7" t="s">
        <v>20</v>
      </c>
      <c r="J53" s="8" t="s">
        <v>18</v>
      </c>
      <c r="K53">
        <v>283</v>
      </c>
      <c r="L53">
        <v>98.832364451782198</v>
      </c>
      <c r="M53">
        <v>99.336983360327082</v>
      </c>
      <c r="N53">
        <f t="shared" si="9"/>
        <v>0</v>
      </c>
      <c r="O53">
        <f t="shared" si="10"/>
        <v>1</v>
      </c>
      <c r="P53">
        <f t="shared" si="2"/>
        <v>0</v>
      </c>
      <c r="Q53">
        <f t="shared" si="3"/>
        <v>1</v>
      </c>
      <c r="R53">
        <f t="shared" si="4"/>
        <v>0</v>
      </c>
      <c r="S53">
        <v>0</v>
      </c>
      <c r="T53">
        <f t="shared" si="5"/>
        <v>0.46232621646855931</v>
      </c>
      <c r="U53">
        <v>-0.16139266348570591</v>
      </c>
      <c r="V53">
        <f t="shared" si="6"/>
        <v>-0.62371887995426523</v>
      </c>
    </row>
    <row r="54" spans="1:22" x14ac:dyDescent="0.2">
      <c r="A54">
        <f t="shared" si="7"/>
        <v>53</v>
      </c>
      <c r="B54" s="2">
        <f t="shared" si="8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6">
        <v>5.3</v>
      </c>
      <c r="H54" s="5">
        <v>10</v>
      </c>
      <c r="I54" s="7" t="s">
        <v>20</v>
      </c>
      <c r="J54" s="8" t="s">
        <v>18</v>
      </c>
      <c r="K54">
        <v>283</v>
      </c>
      <c r="L54">
        <v>90.807039760856895</v>
      </c>
      <c r="M54">
        <v>91.355998544867575</v>
      </c>
      <c r="N54">
        <f t="shared" si="9"/>
        <v>0</v>
      </c>
      <c r="O54">
        <f t="shared" si="10"/>
        <v>1</v>
      </c>
      <c r="P54">
        <f t="shared" si="2"/>
        <v>0</v>
      </c>
      <c r="Q54">
        <f t="shared" si="3"/>
        <v>1</v>
      </c>
      <c r="R54">
        <f t="shared" si="4"/>
        <v>0</v>
      </c>
      <c r="S54">
        <v>0</v>
      </c>
      <c r="T54">
        <f t="shared" si="5"/>
        <v>1.3032057731656932</v>
      </c>
      <c r="U54">
        <v>1.1592647404486791</v>
      </c>
      <c r="V54">
        <f t="shared" si="6"/>
        <v>-0.14394103271701408</v>
      </c>
    </row>
    <row r="55" spans="1:22" x14ac:dyDescent="0.2">
      <c r="A55">
        <f t="shared" si="7"/>
        <v>54</v>
      </c>
      <c r="B55" s="2">
        <f t="shared" si="8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6">
        <v>5.3</v>
      </c>
      <c r="H55" s="5">
        <v>10</v>
      </c>
      <c r="I55" s="7" t="s">
        <v>20</v>
      </c>
      <c r="J55" s="8" t="s">
        <v>16</v>
      </c>
      <c r="K55">
        <v>1141</v>
      </c>
      <c r="L55">
        <v>57.669099196433656</v>
      </c>
      <c r="M55">
        <v>58.529693337041373</v>
      </c>
      <c r="N55">
        <f t="shared" si="9"/>
        <v>0</v>
      </c>
      <c r="O55">
        <f t="shared" si="10"/>
        <v>1</v>
      </c>
      <c r="P55">
        <f t="shared" si="2"/>
        <v>0</v>
      </c>
      <c r="Q55">
        <f t="shared" si="3"/>
        <v>1</v>
      </c>
      <c r="R55">
        <f t="shared" si="4"/>
        <v>0</v>
      </c>
      <c r="S55">
        <v>0</v>
      </c>
      <c r="T55">
        <f t="shared" si="5"/>
        <v>1.355122846721738</v>
      </c>
      <c r="U55">
        <v>1.387608199883436</v>
      </c>
      <c r="V55">
        <f t="shared" si="6"/>
        <v>3.2485353161697983E-2</v>
      </c>
    </row>
    <row r="56" spans="1:22" x14ac:dyDescent="0.2">
      <c r="A56">
        <f t="shared" si="7"/>
        <v>55</v>
      </c>
      <c r="B56" s="2">
        <f t="shared" si="8"/>
        <v>29</v>
      </c>
      <c r="C56" s="33">
        <v>43331</v>
      </c>
      <c r="D56" s="4">
        <v>0.17386574074043892</v>
      </c>
      <c r="E56" s="5">
        <v>-8.24</v>
      </c>
      <c r="F56" s="5">
        <v>116.66</v>
      </c>
      <c r="G56" s="6">
        <v>6.3</v>
      </c>
      <c r="H56" s="5">
        <v>10</v>
      </c>
      <c r="I56" s="2" t="s">
        <v>20</v>
      </c>
      <c r="J56" s="8" t="s">
        <v>15</v>
      </c>
      <c r="K56">
        <v>770</v>
      </c>
      <c r="L56">
        <v>72.173831697702084</v>
      </c>
      <c r="M56">
        <v>72.863310259198542</v>
      </c>
      <c r="N56">
        <f t="shared" si="9"/>
        <v>0</v>
      </c>
      <c r="O56">
        <f t="shared" si="10"/>
        <v>1</v>
      </c>
      <c r="P56">
        <f t="shared" si="2"/>
        <v>0</v>
      </c>
      <c r="Q56">
        <f t="shared" si="3"/>
        <v>1</v>
      </c>
      <c r="R56">
        <f t="shared" si="4"/>
        <v>0</v>
      </c>
      <c r="S56">
        <v>1</v>
      </c>
      <c r="T56">
        <f t="shared" si="5"/>
        <v>1.8424003871175645</v>
      </c>
      <c r="U56">
        <v>0.97979045999623404</v>
      </c>
      <c r="V56">
        <f t="shared" si="6"/>
        <v>-0.86260992712133044</v>
      </c>
    </row>
    <row r="57" spans="1:22" x14ac:dyDescent="0.2">
      <c r="A57">
        <f t="shared" si="7"/>
        <v>56</v>
      </c>
      <c r="B57" s="2">
        <f t="shared" si="8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6">
        <v>6.3</v>
      </c>
      <c r="H57" s="5">
        <v>10</v>
      </c>
      <c r="I57" s="7" t="s">
        <v>20</v>
      </c>
      <c r="J57" s="8" t="s">
        <v>18</v>
      </c>
      <c r="K57">
        <v>283</v>
      </c>
      <c r="L57">
        <v>88.078759906858352</v>
      </c>
      <c r="M57">
        <v>88.644616005316408</v>
      </c>
      <c r="N57">
        <f t="shared" si="9"/>
        <v>0</v>
      </c>
      <c r="O57">
        <f t="shared" si="10"/>
        <v>1</v>
      </c>
      <c r="P57">
        <f t="shared" si="2"/>
        <v>0</v>
      </c>
      <c r="Q57">
        <f t="shared" si="3"/>
        <v>1</v>
      </c>
      <c r="R57">
        <f t="shared" si="4"/>
        <v>0</v>
      </c>
      <c r="S57">
        <v>0</v>
      </c>
      <c r="T57">
        <f t="shared" si="5"/>
        <v>1.8805989609255798</v>
      </c>
      <c r="U57">
        <v>1.0687068296631654</v>
      </c>
      <c r="V57">
        <f t="shared" si="6"/>
        <v>-0.81189213126241433</v>
      </c>
    </row>
    <row r="58" spans="1:22" x14ac:dyDescent="0.2">
      <c r="A58">
        <f t="shared" si="7"/>
        <v>57</v>
      </c>
      <c r="B58" s="2">
        <f t="shared" si="8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6">
        <v>6.3</v>
      </c>
      <c r="H58" s="5">
        <v>10</v>
      </c>
      <c r="I58" s="7" t="s">
        <v>20</v>
      </c>
      <c r="J58" s="8" t="s">
        <v>16</v>
      </c>
      <c r="K58">
        <v>1141</v>
      </c>
      <c r="L58">
        <v>60.586448333172122</v>
      </c>
      <c r="M58">
        <v>61.406170061551101</v>
      </c>
      <c r="N58">
        <f t="shared" si="9"/>
        <v>0</v>
      </c>
      <c r="O58">
        <f t="shared" si="10"/>
        <v>1</v>
      </c>
      <c r="P58">
        <f t="shared" si="2"/>
        <v>0</v>
      </c>
      <c r="Q58">
        <f t="shared" si="3"/>
        <v>1</v>
      </c>
      <c r="R58">
        <f t="shared" si="4"/>
        <v>0</v>
      </c>
      <c r="S58">
        <v>0</v>
      </c>
      <c r="T58">
        <f t="shared" si="5"/>
        <v>1.8845461846165181</v>
      </c>
      <c r="U58">
        <v>1.5070480475451349</v>
      </c>
      <c r="V58">
        <f t="shared" si="6"/>
        <v>-0.37749813707138324</v>
      </c>
    </row>
    <row r="59" spans="1:22" x14ac:dyDescent="0.2">
      <c r="A59">
        <f t="shared" si="7"/>
        <v>58</v>
      </c>
      <c r="B59" s="2">
        <f t="shared" si="8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6">
        <v>5</v>
      </c>
      <c r="H59" s="5">
        <v>10</v>
      </c>
      <c r="I59" s="7" t="s">
        <v>20</v>
      </c>
      <c r="J59" s="8" t="s">
        <v>18</v>
      </c>
      <c r="K59">
        <v>283</v>
      </c>
      <c r="L59">
        <v>57.516438882548499</v>
      </c>
      <c r="M59">
        <v>58.379283497915054</v>
      </c>
      <c r="N59">
        <f t="shared" si="9"/>
        <v>0</v>
      </c>
      <c r="O59">
        <f t="shared" si="10"/>
        <v>1</v>
      </c>
      <c r="P59">
        <f t="shared" si="2"/>
        <v>0</v>
      </c>
      <c r="Q59">
        <f t="shared" si="3"/>
        <v>1</v>
      </c>
      <c r="R59">
        <f t="shared" si="4"/>
        <v>0</v>
      </c>
      <c r="S59">
        <v>0</v>
      </c>
      <c r="T59">
        <f t="shared" si="5"/>
        <v>1.3640772780368728</v>
      </c>
      <c r="U59">
        <v>0.4241287939810105</v>
      </c>
      <c r="V59">
        <f t="shared" si="6"/>
        <v>-0.93994848405586229</v>
      </c>
    </row>
    <row r="60" spans="1:22" x14ac:dyDescent="0.2">
      <c r="A60">
        <f t="shared" si="7"/>
        <v>59</v>
      </c>
      <c r="B60" s="2">
        <f t="shared" si="8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6">
        <v>4.8</v>
      </c>
      <c r="H60" s="5">
        <v>10</v>
      </c>
      <c r="I60" s="7" t="s">
        <v>20</v>
      </c>
      <c r="J60" s="8" t="s">
        <v>12</v>
      </c>
      <c r="K60">
        <v>386</v>
      </c>
      <c r="L60">
        <v>235.11317602344423</v>
      </c>
      <c r="M60">
        <v>235.32574347026096</v>
      </c>
      <c r="N60">
        <f t="shared" si="9"/>
        <v>0</v>
      </c>
      <c r="O60">
        <f t="shared" si="10"/>
        <v>1</v>
      </c>
      <c r="P60">
        <f t="shared" si="2"/>
        <v>0</v>
      </c>
      <c r="Q60">
        <f t="shared" si="3"/>
        <v>1</v>
      </c>
      <c r="R60">
        <f t="shared" si="4"/>
        <v>0</v>
      </c>
      <c r="S60">
        <v>0</v>
      </c>
      <c r="T60">
        <f t="shared" si="5"/>
        <v>0.30455212128597409</v>
      </c>
      <c r="U60">
        <v>0.49020355631402862</v>
      </c>
      <c r="V60">
        <f t="shared" si="6"/>
        <v>0.18565143502805453</v>
      </c>
    </row>
    <row r="61" spans="1:22" x14ac:dyDescent="0.2">
      <c r="A61">
        <f t="shared" si="7"/>
        <v>60</v>
      </c>
      <c r="B61" s="2">
        <f t="shared" si="8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6">
        <v>4.5</v>
      </c>
      <c r="H61" s="5">
        <v>10</v>
      </c>
      <c r="I61" s="7" t="s">
        <v>20</v>
      </c>
      <c r="J61" s="8" t="s">
        <v>18</v>
      </c>
      <c r="K61">
        <v>283</v>
      </c>
      <c r="L61">
        <v>97.287891794045379</v>
      </c>
      <c r="M61">
        <v>97.800480007666025</v>
      </c>
      <c r="N61">
        <f t="shared" si="9"/>
        <v>0</v>
      </c>
      <c r="O61">
        <f t="shared" si="10"/>
        <v>1</v>
      </c>
      <c r="P61">
        <f t="shared" si="2"/>
        <v>0</v>
      </c>
      <c r="Q61">
        <f t="shared" si="3"/>
        <v>1</v>
      </c>
      <c r="R61">
        <f t="shared" si="4"/>
        <v>0</v>
      </c>
      <c r="S61">
        <v>0</v>
      </c>
      <c r="T61">
        <f t="shared" si="5"/>
        <v>0.64824644593861558</v>
      </c>
      <c r="U61">
        <v>0.31345813619822493</v>
      </c>
      <c r="V61">
        <f t="shared" si="6"/>
        <v>-0.33478830974039064</v>
      </c>
    </row>
    <row r="62" spans="1:22" x14ac:dyDescent="0.2">
      <c r="A62">
        <f t="shared" si="7"/>
        <v>61</v>
      </c>
      <c r="B62" s="2">
        <f t="shared" si="8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6">
        <v>4.7</v>
      </c>
      <c r="H62" s="5">
        <v>10</v>
      </c>
      <c r="I62" s="7" t="s">
        <v>20</v>
      </c>
      <c r="J62" s="8" t="s">
        <v>12</v>
      </c>
      <c r="K62">
        <v>386</v>
      </c>
      <c r="L62">
        <v>246.0405833277724</v>
      </c>
      <c r="M62">
        <v>246.243717979303</v>
      </c>
      <c r="N62">
        <f t="shared" si="9"/>
        <v>0</v>
      </c>
      <c r="O62">
        <f t="shared" si="10"/>
        <v>1</v>
      </c>
      <c r="P62">
        <f t="shared" si="2"/>
        <v>0</v>
      </c>
      <c r="Q62">
        <f t="shared" si="3"/>
        <v>1</v>
      </c>
      <c r="R62">
        <f t="shared" si="4"/>
        <v>0</v>
      </c>
      <c r="S62">
        <v>1</v>
      </c>
      <c r="T62">
        <f t="shared" si="5"/>
        <v>0.19614026215011482</v>
      </c>
      <c r="U62">
        <v>3.2374502922529157E-3</v>
      </c>
      <c r="V62">
        <f t="shared" si="6"/>
        <v>-0.1929028118578619</v>
      </c>
    </row>
    <row r="63" spans="1:22" x14ac:dyDescent="0.2">
      <c r="A63">
        <f t="shared" si="7"/>
        <v>62</v>
      </c>
      <c r="B63" s="2">
        <f t="shared" si="8"/>
        <v>33</v>
      </c>
      <c r="C63" s="27">
        <v>43331</v>
      </c>
      <c r="D63" s="28">
        <v>0.97910879629629621</v>
      </c>
      <c r="E63" s="29">
        <v>-8.17</v>
      </c>
      <c r="F63" s="29">
        <v>116.51</v>
      </c>
      <c r="G63" s="6">
        <v>4.7</v>
      </c>
      <c r="H63" s="5">
        <v>10</v>
      </c>
      <c r="I63" s="2" t="s">
        <v>20</v>
      </c>
      <c r="J63" s="8" t="s">
        <v>15</v>
      </c>
      <c r="K63">
        <v>770</v>
      </c>
      <c r="L63">
        <v>71.029525733797968</v>
      </c>
      <c r="M63">
        <v>71.730004363364344</v>
      </c>
      <c r="N63">
        <f t="shared" si="9"/>
        <v>0</v>
      </c>
      <c r="O63">
        <f t="shared" si="10"/>
        <v>1</v>
      </c>
      <c r="P63">
        <f t="shared" si="2"/>
        <v>0</v>
      </c>
      <c r="Q63">
        <f t="shared" si="3"/>
        <v>1</v>
      </c>
      <c r="R63">
        <f t="shared" si="4"/>
        <v>0</v>
      </c>
      <c r="S63">
        <v>1</v>
      </c>
      <c r="T63">
        <f t="shared" si="5"/>
        <v>0.84728211041261436</v>
      </c>
      <c r="U63">
        <v>-8.3262895563145489E-3</v>
      </c>
      <c r="V63">
        <f t="shared" si="6"/>
        <v>-0.8556083999689289</v>
      </c>
    </row>
    <row r="64" spans="1:22" x14ac:dyDescent="0.2">
      <c r="A64">
        <f t="shared" si="7"/>
        <v>63</v>
      </c>
      <c r="B64" s="2">
        <f t="shared" si="8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6">
        <v>4.7</v>
      </c>
      <c r="H64" s="5">
        <v>10</v>
      </c>
      <c r="I64" s="7" t="s">
        <v>20</v>
      </c>
      <c r="J64" s="8" t="s">
        <v>16</v>
      </c>
      <c r="K64">
        <v>1141</v>
      </c>
      <c r="L64">
        <v>75.443494535765566</v>
      </c>
      <c r="M64">
        <v>76.103356481617084</v>
      </c>
      <c r="N64">
        <f t="shared" si="9"/>
        <v>0</v>
      </c>
      <c r="O64">
        <f t="shared" si="10"/>
        <v>1</v>
      </c>
      <c r="P64">
        <f t="shared" si="2"/>
        <v>0</v>
      </c>
      <c r="Q64">
        <f t="shared" si="3"/>
        <v>1</v>
      </c>
      <c r="R64">
        <f t="shared" si="4"/>
        <v>0</v>
      </c>
      <c r="S64">
        <v>1</v>
      </c>
      <c r="T64">
        <f t="shared" si="5"/>
        <v>0.74907794250607673</v>
      </c>
      <c r="U64">
        <v>-6.5552634055822479E-3</v>
      </c>
      <c r="V64">
        <f t="shared" si="6"/>
        <v>-0.75563320591165895</v>
      </c>
    </row>
    <row r="65" spans="1:22" x14ac:dyDescent="0.2">
      <c r="A65">
        <f t="shared" si="7"/>
        <v>64</v>
      </c>
      <c r="B65" s="2">
        <f t="shared" si="8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6">
        <v>5.0999999999999996</v>
      </c>
      <c r="H65" s="5">
        <v>10</v>
      </c>
      <c r="I65" s="7" t="s">
        <v>20</v>
      </c>
      <c r="J65" s="8" t="s">
        <v>13</v>
      </c>
      <c r="K65">
        <v>290</v>
      </c>
      <c r="L65">
        <v>177.63849874835083</v>
      </c>
      <c r="M65">
        <v>177.91974662068245</v>
      </c>
      <c r="N65">
        <f t="shared" si="9"/>
        <v>0</v>
      </c>
      <c r="O65">
        <f t="shared" si="10"/>
        <v>1</v>
      </c>
      <c r="P65">
        <f t="shared" si="2"/>
        <v>0</v>
      </c>
      <c r="Q65">
        <f t="shared" si="3"/>
        <v>1</v>
      </c>
      <c r="R65">
        <f t="shared" si="4"/>
        <v>0</v>
      </c>
      <c r="S65">
        <v>0</v>
      </c>
      <c r="T65">
        <f t="shared" si="5"/>
        <v>0.74975802095230304</v>
      </c>
      <c r="U65">
        <v>0.47228855140655851</v>
      </c>
      <c r="V65">
        <f t="shared" si="6"/>
        <v>-0.27746946954574453</v>
      </c>
    </row>
    <row r="66" spans="1:22" x14ac:dyDescent="0.2">
      <c r="A66">
        <f t="shared" si="7"/>
        <v>65</v>
      </c>
      <c r="B66" s="2">
        <f t="shared" si="8"/>
        <v>34</v>
      </c>
      <c r="C66" s="27">
        <v>43332</v>
      </c>
      <c r="D66" s="28">
        <v>6.2870370370370368E-2</v>
      </c>
      <c r="E66" s="29">
        <v>-8.27</v>
      </c>
      <c r="F66" s="29">
        <v>116.73</v>
      </c>
      <c r="G66" s="6">
        <v>5.0999999999999996</v>
      </c>
      <c r="H66" s="29">
        <v>10</v>
      </c>
      <c r="I66" s="2" t="s">
        <v>20</v>
      </c>
      <c r="J66" s="8" t="s">
        <v>15</v>
      </c>
      <c r="K66">
        <v>770</v>
      </c>
      <c r="L66">
        <v>74.49554657433103</v>
      </c>
      <c r="M66">
        <v>75.163731010430311</v>
      </c>
      <c r="N66">
        <f t="shared" ref="N66:N97" si="11">IF(I66="normal",1,0)</f>
        <v>0</v>
      </c>
      <c r="O66">
        <f t="shared" ref="O66:O97" si="12">IF(I66="reverse",1,0)</f>
        <v>1</v>
      </c>
      <c r="P66">
        <f t="shared" si="2"/>
        <v>0</v>
      </c>
      <c r="Q66">
        <f t="shared" si="3"/>
        <v>1</v>
      </c>
      <c r="R66">
        <f t="shared" si="4"/>
        <v>0</v>
      </c>
      <c r="S66">
        <v>1</v>
      </c>
      <c r="T66">
        <f t="shared" si="5"/>
        <v>1.1252154515686592</v>
      </c>
      <c r="U66">
        <v>-6.8978433557323596E-2</v>
      </c>
      <c r="V66">
        <f t="shared" si="6"/>
        <v>-1.1941938851259828</v>
      </c>
    </row>
    <row r="67" spans="1:22" x14ac:dyDescent="0.2">
      <c r="A67">
        <f t="shared" si="7"/>
        <v>66</v>
      </c>
      <c r="B67" s="2">
        <f t="shared" si="8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6">
        <v>5.0999999999999996</v>
      </c>
      <c r="H67" s="5">
        <v>10</v>
      </c>
      <c r="I67" s="7" t="s">
        <v>20</v>
      </c>
      <c r="J67" s="8" t="s">
        <v>18</v>
      </c>
      <c r="K67">
        <v>283</v>
      </c>
      <c r="L67">
        <v>79.652811637316844</v>
      </c>
      <c r="M67">
        <v>80.278081701856067</v>
      </c>
      <c r="N67">
        <f t="shared" si="11"/>
        <v>0</v>
      </c>
      <c r="O67">
        <f t="shared" si="12"/>
        <v>1</v>
      </c>
      <c r="P67">
        <f t="shared" ref="P67:P130" si="13">IF(I67="strike slip",1,0)</f>
        <v>0</v>
      </c>
      <c r="Q67">
        <f t="shared" ref="Q67:Q130" si="14">IF(G67&gt;$X$3,0,1)</f>
        <v>1</v>
      </c>
      <c r="R67">
        <f t="shared" ref="R67:R130" si="15">IF(G67&gt;$X$3,1,0)</f>
        <v>0</v>
      </c>
      <c r="S67">
        <v>0</v>
      </c>
      <c r="T67">
        <f t="shared" ref="T67:T130" si="16">$X$6+($X$7+$X$8*(G67-$X$2))*LOG10((SQRT((M67^2)+($X$9^2))/$X$4))-$X$10*(SQRT((M67^2)+($X$9^2))-$X$4)+Q67*$X$11*(G67-$X$3)+Q67*$X$12*((G67-$X$3)^2)+R67*$X$13*(G67-$X$3)+$X$14*LOG10(K67/$X$5)+$X$15*N67+$X$16*O67+$X$17*P67</f>
        <v>1.2428627230817249</v>
      </c>
      <c r="U67">
        <v>0.55378925273906221</v>
      </c>
      <c r="V67">
        <f t="shared" ref="V67:V130" si="17">U67-T67</f>
        <v>-0.68907347034266264</v>
      </c>
    </row>
    <row r="68" spans="1:22" x14ac:dyDescent="0.2">
      <c r="A68">
        <f t="shared" ref="A68:A131" si="18">A67+1</f>
        <v>67</v>
      </c>
      <c r="B68" s="2">
        <f t="shared" si="8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6">
        <v>5.0999999999999996</v>
      </c>
      <c r="H68" s="5">
        <v>10</v>
      </c>
      <c r="I68" s="7" t="s">
        <v>20</v>
      </c>
      <c r="J68" s="8" t="s">
        <v>16</v>
      </c>
      <c r="K68">
        <v>1141</v>
      </c>
      <c r="L68">
        <v>54.678992298396473</v>
      </c>
      <c r="M68">
        <v>55.585899280016157</v>
      </c>
      <c r="N68">
        <f t="shared" si="11"/>
        <v>0</v>
      </c>
      <c r="O68">
        <f t="shared" si="12"/>
        <v>1</v>
      </c>
      <c r="P68">
        <f t="shared" si="13"/>
        <v>0</v>
      </c>
      <c r="Q68">
        <f t="shared" si="14"/>
        <v>1</v>
      </c>
      <c r="R68">
        <f t="shared" si="15"/>
        <v>0</v>
      </c>
      <c r="S68">
        <v>0</v>
      </c>
      <c r="T68">
        <f t="shared" si="16"/>
        <v>1.2471444768049109</v>
      </c>
      <c r="U68">
        <v>0.41966538588317587</v>
      </c>
      <c r="V68">
        <f t="shared" si="17"/>
        <v>-0.82747909092173511</v>
      </c>
    </row>
    <row r="69" spans="1:22" x14ac:dyDescent="0.2">
      <c r="A69">
        <f t="shared" si="18"/>
        <v>68</v>
      </c>
      <c r="B69" s="2">
        <f t="shared" si="8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6">
        <v>5</v>
      </c>
      <c r="H69" s="5">
        <v>10</v>
      </c>
      <c r="I69" s="7" t="s">
        <v>20</v>
      </c>
      <c r="J69" s="8" t="s">
        <v>13</v>
      </c>
      <c r="K69">
        <v>290</v>
      </c>
      <c r="L69">
        <v>206.86371328942161</v>
      </c>
      <c r="M69">
        <v>207.10527727677058</v>
      </c>
      <c r="N69">
        <f t="shared" si="11"/>
        <v>0</v>
      </c>
      <c r="O69">
        <f t="shared" si="12"/>
        <v>1</v>
      </c>
      <c r="P69">
        <f t="shared" si="13"/>
        <v>0</v>
      </c>
      <c r="Q69">
        <f t="shared" si="14"/>
        <v>1</v>
      </c>
      <c r="R69">
        <f t="shared" si="15"/>
        <v>0</v>
      </c>
      <c r="S69">
        <v>1</v>
      </c>
      <c r="T69">
        <f t="shared" si="16"/>
        <v>0.58244116490148001</v>
      </c>
      <c r="U69">
        <v>0.19631818527567654</v>
      </c>
      <c r="V69">
        <f t="shared" si="17"/>
        <v>-0.38612297962580344</v>
      </c>
    </row>
    <row r="70" spans="1:22" x14ac:dyDescent="0.2">
      <c r="A70">
        <f t="shared" si="18"/>
        <v>69</v>
      </c>
      <c r="B70" s="2">
        <f t="shared" si="8"/>
        <v>36</v>
      </c>
      <c r="C70" s="27">
        <v>43336</v>
      </c>
      <c r="D70" s="28">
        <v>4.763888888888889E-2</v>
      </c>
      <c r="E70" s="29">
        <v>-8.26</v>
      </c>
      <c r="F70" s="29">
        <v>116.14</v>
      </c>
      <c r="G70" s="6">
        <v>4.4000000000000004</v>
      </c>
      <c r="H70" s="29">
        <v>10</v>
      </c>
      <c r="I70" s="2" t="s">
        <v>20</v>
      </c>
      <c r="J70" s="8" t="s">
        <v>15</v>
      </c>
      <c r="K70">
        <v>770</v>
      </c>
      <c r="L70">
        <v>58.306907947928202</v>
      </c>
      <c r="M70">
        <v>59.158224402429227</v>
      </c>
      <c r="N70">
        <f t="shared" si="11"/>
        <v>0</v>
      </c>
      <c r="O70">
        <f t="shared" si="12"/>
        <v>1</v>
      </c>
      <c r="P70">
        <f t="shared" si="13"/>
        <v>0</v>
      </c>
      <c r="Q70">
        <f t="shared" si="14"/>
        <v>1</v>
      </c>
      <c r="R70">
        <f t="shared" si="15"/>
        <v>0</v>
      </c>
      <c r="S70">
        <v>1</v>
      </c>
      <c r="T70">
        <f t="shared" si="16"/>
        <v>0.7108187611236737</v>
      </c>
      <c r="U70">
        <v>-0.11660898027370414</v>
      </c>
      <c r="V70">
        <f t="shared" si="17"/>
        <v>-0.82742774139737785</v>
      </c>
    </row>
    <row r="71" spans="1:22" x14ac:dyDescent="0.2">
      <c r="A71">
        <f t="shared" si="18"/>
        <v>70</v>
      </c>
      <c r="B71" s="2">
        <f t="shared" ref="B71:B134" si="19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6">
        <v>4.4000000000000004</v>
      </c>
      <c r="H71" s="5">
        <v>10</v>
      </c>
      <c r="I71" s="7" t="s">
        <v>20</v>
      </c>
      <c r="J71" s="8" t="s">
        <v>18</v>
      </c>
      <c r="K71">
        <v>283</v>
      </c>
      <c r="L71">
        <v>143.68082400490985</v>
      </c>
      <c r="M71">
        <v>144.02839715392892</v>
      </c>
      <c r="N71">
        <f t="shared" si="11"/>
        <v>0</v>
      </c>
      <c r="O71">
        <f t="shared" si="12"/>
        <v>1</v>
      </c>
      <c r="P71">
        <f t="shared" si="13"/>
        <v>0</v>
      </c>
      <c r="Q71">
        <f t="shared" si="14"/>
        <v>1</v>
      </c>
      <c r="R71">
        <f t="shared" si="15"/>
        <v>0</v>
      </c>
      <c r="S71">
        <v>1</v>
      </c>
      <c r="T71">
        <f t="shared" si="16"/>
        <v>0.32307788383606406</v>
      </c>
      <c r="U71">
        <v>-0.83750500121647853</v>
      </c>
      <c r="V71">
        <f t="shared" si="17"/>
        <v>-1.1605828850525426</v>
      </c>
    </row>
    <row r="72" spans="1:22" x14ac:dyDescent="0.2">
      <c r="A72">
        <f t="shared" si="18"/>
        <v>71</v>
      </c>
      <c r="B72" s="2">
        <f t="shared" si="19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6">
        <v>4.4000000000000004</v>
      </c>
      <c r="H72" s="5">
        <v>10</v>
      </c>
      <c r="I72" s="7" t="s">
        <v>20</v>
      </c>
      <c r="J72" s="8" t="s">
        <v>16</v>
      </c>
      <c r="K72">
        <v>1141</v>
      </c>
      <c r="L72">
        <v>98.06698322263297</v>
      </c>
      <c r="M72">
        <v>98.575520279571322</v>
      </c>
      <c r="N72">
        <f t="shared" si="11"/>
        <v>0</v>
      </c>
      <c r="O72">
        <f t="shared" si="12"/>
        <v>1</v>
      </c>
      <c r="P72">
        <f t="shared" si="13"/>
        <v>0</v>
      </c>
      <c r="Q72">
        <f t="shared" si="14"/>
        <v>1</v>
      </c>
      <c r="R72">
        <f t="shared" si="15"/>
        <v>0</v>
      </c>
      <c r="S72">
        <v>1</v>
      </c>
      <c r="T72">
        <f t="shared" si="16"/>
        <v>0.33646222336556497</v>
      </c>
      <c r="U72">
        <v>-0.61107850978555511</v>
      </c>
      <c r="V72">
        <f t="shared" si="17"/>
        <v>-0.94754073315112008</v>
      </c>
    </row>
    <row r="73" spans="1:22" x14ac:dyDescent="0.2">
      <c r="A73">
        <f t="shared" si="18"/>
        <v>72</v>
      </c>
      <c r="B73" s="2">
        <f t="shared" si="19"/>
        <v>37</v>
      </c>
      <c r="C73" s="27">
        <v>43337</v>
      </c>
      <c r="D73" s="28">
        <v>0.46883101851851849</v>
      </c>
      <c r="E73" s="29">
        <v>-8.2799999999999994</v>
      </c>
      <c r="F73" s="29">
        <v>116.16</v>
      </c>
      <c r="G73" s="6">
        <v>3.5</v>
      </c>
      <c r="H73" s="29">
        <v>10</v>
      </c>
      <c r="I73" s="2" t="s">
        <v>20</v>
      </c>
      <c r="J73" s="8" t="s">
        <v>15</v>
      </c>
      <c r="K73">
        <v>770</v>
      </c>
      <c r="L73">
        <v>55.597799097160255</v>
      </c>
      <c r="M73">
        <v>56.489957199914691</v>
      </c>
      <c r="N73">
        <f t="shared" si="11"/>
        <v>0</v>
      </c>
      <c r="O73">
        <f t="shared" si="12"/>
        <v>1</v>
      </c>
      <c r="P73">
        <f t="shared" si="13"/>
        <v>0</v>
      </c>
      <c r="Q73">
        <f t="shared" si="14"/>
        <v>1</v>
      </c>
      <c r="R73">
        <f t="shared" si="15"/>
        <v>0</v>
      </c>
      <c r="S73">
        <v>1</v>
      </c>
      <c r="T73">
        <f t="shared" si="16"/>
        <v>-0.14758369294034099</v>
      </c>
      <c r="U73">
        <v>-0.65114682799146284</v>
      </c>
      <c r="V73">
        <f t="shared" si="17"/>
        <v>-0.50356313505112182</v>
      </c>
    </row>
    <row r="74" spans="1:22" x14ac:dyDescent="0.2">
      <c r="A74">
        <f t="shared" si="18"/>
        <v>73</v>
      </c>
      <c r="B74" s="2">
        <f t="shared" si="19"/>
        <v>38</v>
      </c>
      <c r="C74" s="27">
        <v>43338</v>
      </c>
      <c r="D74" s="28">
        <v>6.4780092592592597E-2</v>
      </c>
      <c r="E74" s="29">
        <v>-8.5500000000000007</v>
      </c>
      <c r="F74" s="29">
        <v>116.93</v>
      </c>
      <c r="G74" s="6">
        <v>5.4</v>
      </c>
      <c r="H74" s="29">
        <v>11</v>
      </c>
      <c r="I74" s="2" t="s">
        <v>20</v>
      </c>
      <c r="J74" s="8" t="s">
        <v>15</v>
      </c>
      <c r="K74">
        <v>770</v>
      </c>
      <c r="L74">
        <v>76.217387166239277</v>
      </c>
      <c r="M74">
        <v>77.007078287962699</v>
      </c>
      <c r="N74">
        <f t="shared" si="11"/>
        <v>0</v>
      </c>
      <c r="O74">
        <f t="shared" si="12"/>
        <v>1</v>
      </c>
      <c r="P74">
        <f t="shared" si="13"/>
        <v>0</v>
      </c>
      <c r="Q74">
        <f t="shared" si="14"/>
        <v>1</v>
      </c>
      <c r="R74">
        <f t="shared" si="15"/>
        <v>0</v>
      </c>
      <c r="S74">
        <v>0</v>
      </c>
      <c r="T74">
        <f t="shared" si="16"/>
        <v>1.316093751559936</v>
      </c>
      <c r="U74">
        <v>0.41507786180907374</v>
      </c>
      <c r="V74">
        <f t="shared" si="17"/>
        <v>-0.90101588975086222</v>
      </c>
    </row>
    <row r="75" spans="1:22" x14ac:dyDescent="0.2">
      <c r="A75">
        <f t="shared" si="18"/>
        <v>74</v>
      </c>
      <c r="B75" s="2">
        <f t="shared" si="19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6">
        <v>5.4</v>
      </c>
      <c r="H75" s="5">
        <v>11</v>
      </c>
      <c r="I75" s="7" t="s">
        <v>20</v>
      </c>
      <c r="J75" s="8" t="s">
        <v>18</v>
      </c>
      <c r="K75">
        <v>283</v>
      </c>
      <c r="L75">
        <v>54.101593478657179</v>
      </c>
      <c r="M75">
        <v>55.208535725283284</v>
      </c>
      <c r="N75">
        <f t="shared" si="11"/>
        <v>0</v>
      </c>
      <c r="O75">
        <f t="shared" si="12"/>
        <v>1</v>
      </c>
      <c r="P75">
        <f t="shared" si="13"/>
        <v>0</v>
      </c>
      <c r="Q75">
        <f t="shared" si="14"/>
        <v>1</v>
      </c>
      <c r="R75">
        <f t="shared" si="15"/>
        <v>0</v>
      </c>
      <c r="S75">
        <v>0</v>
      </c>
      <c r="T75">
        <f t="shared" si="16"/>
        <v>1.6768027144122342</v>
      </c>
      <c r="U75">
        <v>0.97133259750489676</v>
      </c>
      <c r="V75">
        <f t="shared" si="17"/>
        <v>-0.70547011690733741</v>
      </c>
    </row>
    <row r="76" spans="1:22" x14ac:dyDescent="0.2">
      <c r="A76">
        <f t="shared" si="18"/>
        <v>75</v>
      </c>
      <c r="B76" s="2">
        <f t="shared" si="19"/>
        <v>38</v>
      </c>
      <c r="C76" s="3">
        <v>43338</v>
      </c>
      <c r="D76" s="4">
        <v>6.4780092592592597E-2</v>
      </c>
      <c r="E76" s="29">
        <v>-8.5500000000000007</v>
      </c>
      <c r="F76" s="29">
        <v>116.93</v>
      </c>
      <c r="G76" s="6">
        <v>5.4</v>
      </c>
      <c r="H76" s="5">
        <v>11</v>
      </c>
      <c r="I76" s="7" t="s">
        <v>20</v>
      </c>
      <c r="J76" s="8" t="s">
        <v>16</v>
      </c>
      <c r="K76">
        <v>1141</v>
      </c>
      <c r="L76">
        <v>21.567600659509985</v>
      </c>
      <c r="M76">
        <v>24.210770293571734</v>
      </c>
      <c r="N76">
        <f t="shared" si="11"/>
        <v>0</v>
      </c>
      <c r="O76">
        <f t="shared" si="12"/>
        <v>1</v>
      </c>
      <c r="P76">
        <f t="shared" si="13"/>
        <v>0</v>
      </c>
      <c r="Q76">
        <f t="shared" si="14"/>
        <v>1</v>
      </c>
      <c r="R76">
        <f t="shared" si="15"/>
        <v>0</v>
      </c>
      <c r="S76">
        <v>0</v>
      </c>
      <c r="T76">
        <f t="shared" si="16"/>
        <v>1.9526744301392873</v>
      </c>
      <c r="U76">
        <v>1.1625177488441212</v>
      </c>
      <c r="V76">
        <f t="shared" si="17"/>
        <v>-0.79015668129516614</v>
      </c>
    </row>
    <row r="77" spans="1:22" x14ac:dyDescent="0.2">
      <c r="A77">
        <f t="shared" si="18"/>
        <v>76</v>
      </c>
      <c r="B77" s="2">
        <f t="shared" si="19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6">
        <v>4.8</v>
      </c>
      <c r="H77" s="5">
        <v>10</v>
      </c>
      <c r="I77" s="7" t="s">
        <v>20</v>
      </c>
      <c r="J77" s="8" t="s">
        <v>18</v>
      </c>
      <c r="K77">
        <v>283</v>
      </c>
      <c r="L77">
        <v>150.88889346446217</v>
      </c>
      <c r="M77">
        <v>151.21990004933153</v>
      </c>
      <c r="N77">
        <f t="shared" si="11"/>
        <v>0</v>
      </c>
      <c r="O77">
        <f t="shared" si="12"/>
        <v>1</v>
      </c>
      <c r="P77">
        <f t="shared" si="13"/>
        <v>0</v>
      </c>
      <c r="Q77">
        <f t="shared" si="14"/>
        <v>1</v>
      </c>
      <c r="R77">
        <f t="shared" si="15"/>
        <v>0</v>
      </c>
      <c r="S77">
        <v>1</v>
      </c>
      <c r="T77">
        <f t="shared" si="16"/>
        <v>0.62742080101782383</v>
      </c>
      <c r="U77">
        <v>-0.39056365571747237</v>
      </c>
      <c r="V77">
        <f t="shared" si="17"/>
        <v>-1.0179844567352963</v>
      </c>
    </row>
    <row r="78" spans="1:22" x14ac:dyDescent="0.2">
      <c r="A78">
        <f t="shared" si="18"/>
        <v>77</v>
      </c>
      <c r="B78" s="2">
        <f t="shared" si="19"/>
        <v>39</v>
      </c>
      <c r="C78" s="3">
        <v>43343</v>
      </c>
      <c r="D78" s="4">
        <v>0.1092013888888889</v>
      </c>
      <c r="E78" s="29">
        <v>-8.3699999999999992</v>
      </c>
      <c r="F78" s="29">
        <v>116.06</v>
      </c>
      <c r="G78" s="6">
        <v>4.8</v>
      </c>
      <c r="H78" s="5">
        <v>10</v>
      </c>
      <c r="I78" s="7" t="s">
        <v>20</v>
      </c>
      <c r="J78" s="8" t="s">
        <v>16</v>
      </c>
      <c r="K78">
        <v>1141</v>
      </c>
      <c r="L78">
        <v>100.06290501663518</v>
      </c>
      <c r="M78">
        <v>100.56134923701131</v>
      </c>
      <c r="N78">
        <f t="shared" si="11"/>
        <v>0</v>
      </c>
      <c r="O78">
        <f t="shared" si="12"/>
        <v>1</v>
      </c>
      <c r="P78">
        <f t="shared" si="13"/>
        <v>0</v>
      </c>
      <c r="Q78">
        <f t="shared" si="14"/>
        <v>1</v>
      </c>
      <c r="R78">
        <f t="shared" si="15"/>
        <v>0</v>
      </c>
      <c r="S78">
        <v>1</v>
      </c>
      <c r="T78">
        <f t="shared" si="16"/>
        <v>0.65849181388052203</v>
      </c>
      <c r="U78">
        <v>-0.18067195219422599</v>
      </c>
      <c r="V78">
        <f t="shared" si="17"/>
        <v>-0.83916376607474796</v>
      </c>
    </row>
    <row r="79" spans="1:22" x14ac:dyDescent="0.2">
      <c r="A79">
        <f t="shared" si="18"/>
        <v>78</v>
      </c>
      <c r="B79" s="2">
        <f t="shared" si="19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6">
        <v>4</v>
      </c>
      <c r="H79" s="5">
        <v>10</v>
      </c>
      <c r="I79" s="7" t="s">
        <v>20</v>
      </c>
      <c r="J79" s="8" t="s">
        <v>13</v>
      </c>
      <c r="K79">
        <v>290</v>
      </c>
      <c r="L79">
        <v>167.64476863286811</v>
      </c>
      <c r="M79">
        <v>167.94275349049116</v>
      </c>
      <c r="N79">
        <f t="shared" si="11"/>
        <v>0</v>
      </c>
      <c r="O79">
        <f t="shared" si="12"/>
        <v>1</v>
      </c>
      <c r="P79">
        <f t="shared" si="13"/>
        <v>0</v>
      </c>
      <c r="Q79">
        <f t="shared" si="14"/>
        <v>1</v>
      </c>
      <c r="R79">
        <f t="shared" si="15"/>
        <v>0</v>
      </c>
      <c r="S79">
        <v>0</v>
      </c>
      <c r="T79">
        <f t="shared" si="16"/>
        <v>-0.14698313857298115</v>
      </c>
      <c r="U79">
        <v>-0.79860055137723807</v>
      </c>
      <c r="V79">
        <f t="shared" si="17"/>
        <v>-0.65161741280425689</v>
      </c>
    </row>
    <row r="80" spans="1:22" x14ac:dyDescent="0.2">
      <c r="A80">
        <f t="shared" si="18"/>
        <v>79</v>
      </c>
      <c r="B80" s="2">
        <f t="shared" si="19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6">
        <v>4</v>
      </c>
      <c r="H80" s="5">
        <v>10</v>
      </c>
      <c r="I80" s="7" t="s">
        <v>20</v>
      </c>
      <c r="J80" s="8" t="s">
        <v>16</v>
      </c>
      <c r="K80">
        <v>1141</v>
      </c>
      <c r="L80">
        <v>63.28816253904116</v>
      </c>
      <c r="M80">
        <v>64.073329221822803</v>
      </c>
      <c r="N80">
        <f t="shared" si="11"/>
        <v>0</v>
      </c>
      <c r="O80">
        <f t="shared" si="12"/>
        <v>1</v>
      </c>
      <c r="P80">
        <f t="shared" si="13"/>
        <v>0</v>
      </c>
      <c r="Q80">
        <f t="shared" si="14"/>
        <v>1</v>
      </c>
      <c r="R80">
        <f t="shared" si="15"/>
        <v>0</v>
      </c>
      <c r="S80">
        <v>0</v>
      </c>
      <c r="T80">
        <f t="shared" si="16"/>
        <v>0.22911201641187576</v>
      </c>
      <c r="U80">
        <v>-0.55773926576773569</v>
      </c>
      <c r="V80">
        <f t="shared" si="17"/>
        <v>-0.78685128217961142</v>
      </c>
    </row>
    <row r="81" spans="1:22" x14ac:dyDescent="0.2">
      <c r="A81">
        <f t="shared" si="18"/>
        <v>80</v>
      </c>
      <c r="B81" s="2">
        <f t="shared" si="19"/>
        <v>41</v>
      </c>
      <c r="C81" s="34">
        <v>43346</v>
      </c>
      <c r="D81" s="35">
        <v>0.8206134259259259</v>
      </c>
      <c r="E81" s="36">
        <v>-8.2799999999999994</v>
      </c>
      <c r="F81" s="36">
        <v>116.12</v>
      </c>
      <c r="G81" s="6">
        <v>3.8</v>
      </c>
      <c r="H81" s="36">
        <v>12</v>
      </c>
      <c r="I81" s="2" t="s">
        <v>20</v>
      </c>
      <c r="J81" s="8" t="s">
        <v>15</v>
      </c>
      <c r="K81">
        <v>770</v>
      </c>
      <c r="L81">
        <v>56.817893431278847</v>
      </c>
      <c r="M81">
        <v>58.071275291387906</v>
      </c>
      <c r="N81">
        <f t="shared" si="11"/>
        <v>0</v>
      </c>
      <c r="O81">
        <f t="shared" si="12"/>
        <v>1</v>
      </c>
      <c r="P81">
        <f t="shared" si="13"/>
        <v>0</v>
      </c>
      <c r="Q81">
        <f t="shared" si="14"/>
        <v>1</v>
      </c>
      <c r="R81">
        <f t="shared" si="15"/>
        <v>0</v>
      </c>
      <c r="S81">
        <v>1</v>
      </c>
      <c r="T81">
        <f t="shared" si="16"/>
        <v>0.151838128162498</v>
      </c>
      <c r="U81">
        <v>-0.63315956845573285</v>
      </c>
      <c r="V81">
        <f t="shared" si="17"/>
        <v>-0.78499769661823082</v>
      </c>
    </row>
    <row r="82" spans="1:22" x14ac:dyDescent="0.2">
      <c r="A82">
        <f t="shared" si="18"/>
        <v>81</v>
      </c>
      <c r="B82" s="2">
        <f t="shared" si="19"/>
        <v>42</v>
      </c>
      <c r="C82" s="34">
        <v>43347</v>
      </c>
      <c r="D82" s="35">
        <v>0.43399305555794854</v>
      </c>
      <c r="E82" s="5">
        <v>-8.49</v>
      </c>
      <c r="F82" s="5">
        <v>116.93</v>
      </c>
      <c r="G82" s="6">
        <v>3.8</v>
      </c>
      <c r="H82" s="5">
        <v>10</v>
      </c>
      <c r="I82" s="2" t="s">
        <v>20</v>
      </c>
      <c r="J82" s="8" t="s">
        <v>15</v>
      </c>
      <c r="K82">
        <v>770</v>
      </c>
      <c r="L82">
        <v>78.572321998070137</v>
      </c>
      <c r="M82">
        <v>79.206122138180817</v>
      </c>
      <c r="N82">
        <f t="shared" si="11"/>
        <v>0</v>
      </c>
      <c r="O82">
        <f t="shared" si="12"/>
        <v>1</v>
      </c>
      <c r="P82">
        <f t="shared" si="13"/>
        <v>0</v>
      </c>
      <c r="Q82">
        <f t="shared" si="14"/>
        <v>1</v>
      </c>
      <c r="R82">
        <f t="shared" si="15"/>
        <v>0</v>
      </c>
      <c r="S82">
        <v>0</v>
      </c>
      <c r="T82">
        <f t="shared" si="16"/>
        <v>-3.7870257238836719E-2</v>
      </c>
      <c r="U82">
        <v>-0.96278655338354746</v>
      </c>
      <c r="V82">
        <f t="shared" si="17"/>
        <v>-0.92491629614471071</v>
      </c>
    </row>
    <row r="83" spans="1:22" x14ac:dyDescent="0.2">
      <c r="A83">
        <f t="shared" si="18"/>
        <v>82</v>
      </c>
      <c r="B83" s="2">
        <f t="shared" si="19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6">
        <v>5</v>
      </c>
      <c r="H83" s="5">
        <v>10</v>
      </c>
      <c r="I83" s="7" t="s">
        <v>20</v>
      </c>
      <c r="J83" s="8" t="s">
        <v>13</v>
      </c>
      <c r="K83">
        <v>290</v>
      </c>
      <c r="L83">
        <v>148.74898529807919</v>
      </c>
      <c r="M83">
        <v>149.08474310675851</v>
      </c>
      <c r="N83">
        <f t="shared" si="11"/>
        <v>0</v>
      </c>
      <c r="O83">
        <f t="shared" si="12"/>
        <v>1</v>
      </c>
      <c r="P83">
        <f t="shared" si="13"/>
        <v>0</v>
      </c>
      <c r="Q83">
        <f t="shared" si="14"/>
        <v>1</v>
      </c>
      <c r="R83">
        <f t="shared" si="15"/>
        <v>0</v>
      </c>
      <c r="S83">
        <v>0</v>
      </c>
      <c r="T83">
        <f t="shared" si="16"/>
        <v>0.7857120581585576</v>
      </c>
      <c r="U83">
        <v>0.4212127794423276</v>
      </c>
      <c r="V83">
        <f t="shared" si="17"/>
        <v>-0.36449927871623</v>
      </c>
    </row>
    <row r="84" spans="1:22" x14ac:dyDescent="0.2">
      <c r="A84">
        <f t="shared" si="18"/>
        <v>83</v>
      </c>
      <c r="B84" s="2">
        <f t="shared" si="19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6">
        <v>4.9000000000000004</v>
      </c>
      <c r="H84" s="5">
        <v>10</v>
      </c>
      <c r="I84" s="7" t="s">
        <v>20</v>
      </c>
      <c r="J84" s="8" t="s">
        <v>14</v>
      </c>
      <c r="K84">
        <v>210</v>
      </c>
      <c r="L84">
        <v>70.821365178451273</v>
      </c>
      <c r="M84">
        <v>71.523882485080122</v>
      </c>
      <c r="N84">
        <f t="shared" si="11"/>
        <v>0</v>
      </c>
      <c r="O84">
        <f t="shared" si="12"/>
        <v>1</v>
      </c>
      <c r="P84">
        <f t="shared" si="13"/>
        <v>0</v>
      </c>
      <c r="Q84">
        <f t="shared" si="14"/>
        <v>1</v>
      </c>
      <c r="R84">
        <f t="shared" si="15"/>
        <v>0</v>
      </c>
      <c r="S84">
        <v>1</v>
      </c>
      <c r="T84">
        <f t="shared" si="16"/>
        <v>1.2118396632151274</v>
      </c>
      <c r="U84">
        <v>-9.8734995332235037E-2</v>
      </c>
      <c r="V84">
        <f t="shared" si="17"/>
        <v>-1.3105746585473623</v>
      </c>
    </row>
    <row r="85" spans="1:22" x14ac:dyDescent="0.2">
      <c r="A85">
        <f t="shared" si="18"/>
        <v>84</v>
      </c>
      <c r="B85" s="2">
        <f t="shared" si="19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6">
        <v>4.9000000000000004</v>
      </c>
      <c r="H85" s="5">
        <v>10</v>
      </c>
      <c r="I85" s="7" t="s">
        <v>20</v>
      </c>
      <c r="J85" s="8" t="s">
        <v>18</v>
      </c>
      <c r="K85">
        <v>283</v>
      </c>
      <c r="L85">
        <v>87.409156199622487</v>
      </c>
      <c r="M85">
        <v>87.979319089942962</v>
      </c>
      <c r="N85">
        <f t="shared" si="11"/>
        <v>0</v>
      </c>
      <c r="O85">
        <f t="shared" si="12"/>
        <v>1</v>
      </c>
      <c r="P85">
        <f t="shared" si="13"/>
        <v>0</v>
      </c>
      <c r="Q85">
        <f t="shared" si="14"/>
        <v>1</v>
      </c>
      <c r="R85">
        <f t="shared" si="15"/>
        <v>0</v>
      </c>
      <c r="S85">
        <v>0</v>
      </c>
      <c r="T85">
        <f t="shared" si="16"/>
        <v>1.0381408426784535</v>
      </c>
      <c r="U85">
        <v>6.7088030463832674E-2</v>
      </c>
      <c r="V85">
        <f t="shared" si="17"/>
        <v>-0.97105281221462081</v>
      </c>
    </row>
    <row r="86" spans="1:22" x14ac:dyDescent="0.2">
      <c r="A86">
        <f t="shared" si="18"/>
        <v>85</v>
      </c>
      <c r="B86" s="2">
        <f t="shared" si="19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6">
        <v>4.7</v>
      </c>
      <c r="H86" s="5">
        <v>5</v>
      </c>
      <c r="I86" s="7" t="s">
        <v>20</v>
      </c>
      <c r="J86" s="8" t="s">
        <v>13</v>
      </c>
      <c r="K86">
        <v>290</v>
      </c>
      <c r="L86">
        <v>196.8111840223722</v>
      </c>
      <c r="M86">
        <v>196.87468642841836</v>
      </c>
      <c r="N86">
        <f t="shared" si="11"/>
        <v>0</v>
      </c>
      <c r="O86">
        <f t="shared" si="12"/>
        <v>1</v>
      </c>
      <c r="P86">
        <f t="shared" si="13"/>
        <v>0</v>
      </c>
      <c r="Q86">
        <f t="shared" si="14"/>
        <v>1</v>
      </c>
      <c r="R86">
        <f t="shared" si="15"/>
        <v>0</v>
      </c>
      <c r="S86">
        <v>1</v>
      </c>
      <c r="T86">
        <f t="shared" si="16"/>
        <v>0.38025801842166096</v>
      </c>
      <c r="U86">
        <v>-0.19560040569430029</v>
      </c>
      <c r="V86">
        <f t="shared" si="17"/>
        <v>-0.57585842411596122</v>
      </c>
    </row>
    <row r="87" spans="1:22" x14ac:dyDescent="0.2">
      <c r="A87">
        <f t="shared" si="18"/>
        <v>86</v>
      </c>
      <c r="B87" s="2">
        <f t="shared" si="19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6">
        <v>4.7</v>
      </c>
      <c r="H87" s="5">
        <v>5</v>
      </c>
      <c r="I87" s="7" t="s">
        <v>20</v>
      </c>
      <c r="J87" s="8" t="s">
        <v>14</v>
      </c>
      <c r="K87">
        <v>210</v>
      </c>
      <c r="L87">
        <v>71.928133474305866</v>
      </c>
      <c r="M87">
        <v>72.101708614273207</v>
      </c>
      <c r="N87">
        <f t="shared" si="11"/>
        <v>0</v>
      </c>
      <c r="O87">
        <f t="shared" si="12"/>
        <v>1</v>
      </c>
      <c r="P87">
        <f t="shared" si="13"/>
        <v>0</v>
      </c>
      <c r="Q87">
        <f t="shared" si="14"/>
        <v>1</v>
      </c>
      <c r="R87">
        <f t="shared" si="15"/>
        <v>0</v>
      </c>
      <c r="S87">
        <v>1</v>
      </c>
      <c r="T87">
        <f t="shared" si="16"/>
        <v>1.0490671290946274</v>
      </c>
      <c r="U87">
        <v>1.7607837698988209E-2</v>
      </c>
      <c r="V87">
        <f t="shared" si="17"/>
        <v>-1.0314592913956393</v>
      </c>
    </row>
    <row r="88" spans="1:22" x14ac:dyDescent="0.2">
      <c r="A88">
        <f t="shared" si="18"/>
        <v>87</v>
      </c>
      <c r="B88" s="2">
        <f t="shared" si="19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6">
        <v>4.7</v>
      </c>
      <c r="H88" s="5">
        <v>5</v>
      </c>
      <c r="I88" s="7" t="s">
        <v>20</v>
      </c>
      <c r="J88" s="8" t="s">
        <v>18</v>
      </c>
      <c r="K88">
        <v>283</v>
      </c>
      <c r="L88">
        <v>100.73119085035158</v>
      </c>
      <c r="M88">
        <v>100.85520715426622</v>
      </c>
      <c r="N88">
        <f t="shared" si="11"/>
        <v>0</v>
      </c>
      <c r="O88">
        <f t="shared" si="12"/>
        <v>1</v>
      </c>
      <c r="P88">
        <f t="shared" si="13"/>
        <v>0</v>
      </c>
      <c r="Q88">
        <f t="shared" si="14"/>
        <v>1</v>
      </c>
      <c r="R88">
        <f t="shared" si="15"/>
        <v>0</v>
      </c>
      <c r="S88">
        <v>1</v>
      </c>
      <c r="T88">
        <f t="shared" si="16"/>
        <v>0.79650783710477613</v>
      </c>
      <c r="U88">
        <v>8.8336721674611665E-2</v>
      </c>
      <c r="V88">
        <f t="shared" si="17"/>
        <v>-0.70817111543016442</v>
      </c>
    </row>
    <row r="89" spans="1:22" x14ac:dyDescent="0.2">
      <c r="A89">
        <f t="shared" si="18"/>
        <v>88</v>
      </c>
      <c r="B89" s="2">
        <f t="shared" si="19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6">
        <v>4.9000000000000004</v>
      </c>
      <c r="H89" s="5">
        <v>10</v>
      </c>
      <c r="I89" s="7" t="s">
        <v>20</v>
      </c>
      <c r="J89" s="8" t="s">
        <v>13</v>
      </c>
      <c r="K89">
        <v>290</v>
      </c>
      <c r="L89">
        <v>193.95907906707598</v>
      </c>
      <c r="M89">
        <v>194.21669431989679</v>
      </c>
      <c r="N89">
        <f t="shared" si="11"/>
        <v>0</v>
      </c>
      <c r="O89">
        <f t="shared" si="12"/>
        <v>1</v>
      </c>
      <c r="P89">
        <f t="shared" si="13"/>
        <v>0</v>
      </c>
      <c r="Q89">
        <f t="shared" si="14"/>
        <v>1</v>
      </c>
      <c r="R89">
        <f t="shared" si="15"/>
        <v>0</v>
      </c>
      <c r="S89">
        <v>0</v>
      </c>
      <c r="T89">
        <f t="shared" si="16"/>
        <v>0.54671102529905269</v>
      </c>
      <c r="U89">
        <v>-0.18409251759465026</v>
      </c>
      <c r="V89">
        <f t="shared" si="17"/>
        <v>-0.73080354289370297</v>
      </c>
    </row>
    <row r="90" spans="1:22" x14ac:dyDescent="0.2">
      <c r="A90">
        <f t="shared" si="18"/>
        <v>89</v>
      </c>
      <c r="B90" s="2">
        <f t="shared" si="19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6">
        <v>4.9000000000000004</v>
      </c>
      <c r="H90" s="5">
        <v>10</v>
      </c>
      <c r="I90" s="7" t="s">
        <v>20</v>
      </c>
      <c r="J90" s="8" t="s">
        <v>14</v>
      </c>
      <c r="K90">
        <v>210</v>
      </c>
      <c r="L90">
        <v>71.45004970385618</v>
      </c>
      <c r="M90">
        <v>72.146445530486943</v>
      </c>
      <c r="N90">
        <f t="shared" si="11"/>
        <v>0</v>
      </c>
      <c r="O90">
        <f t="shared" si="12"/>
        <v>1</v>
      </c>
      <c r="P90">
        <f t="shared" si="13"/>
        <v>0</v>
      </c>
      <c r="Q90">
        <f t="shared" si="14"/>
        <v>1</v>
      </c>
      <c r="R90">
        <f t="shared" si="15"/>
        <v>0</v>
      </c>
      <c r="S90">
        <v>1</v>
      </c>
      <c r="T90">
        <f t="shared" si="16"/>
        <v>1.2065463048289817</v>
      </c>
      <c r="U90">
        <v>0.19417728933728251</v>
      </c>
      <c r="V90">
        <f t="shared" si="17"/>
        <v>-1.0123690154916991</v>
      </c>
    </row>
    <row r="91" spans="1:22" x14ac:dyDescent="0.2">
      <c r="A91">
        <f t="shared" si="18"/>
        <v>90</v>
      </c>
      <c r="B91" s="2">
        <f t="shared" si="19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6">
        <v>4.9000000000000004</v>
      </c>
      <c r="H91" s="5">
        <v>10</v>
      </c>
      <c r="I91" s="7" t="s">
        <v>20</v>
      </c>
      <c r="J91" s="8" t="s">
        <v>18</v>
      </c>
      <c r="K91">
        <v>283</v>
      </c>
      <c r="L91">
        <v>97.398208788098572</v>
      </c>
      <c r="M91">
        <v>97.910219462168712</v>
      </c>
      <c r="N91">
        <f t="shared" si="11"/>
        <v>0</v>
      </c>
      <c r="O91">
        <f t="shared" si="12"/>
        <v>1</v>
      </c>
      <c r="P91">
        <f t="shared" si="13"/>
        <v>0</v>
      </c>
      <c r="Q91">
        <f t="shared" si="14"/>
        <v>1</v>
      </c>
      <c r="R91">
        <f t="shared" si="15"/>
        <v>0</v>
      </c>
      <c r="S91">
        <v>0</v>
      </c>
      <c r="T91">
        <f t="shared" si="16"/>
        <v>0.97260021412372011</v>
      </c>
      <c r="U91">
        <v>-3.0608037058884728E-2</v>
      </c>
      <c r="V91">
        <f t="shared" si="17"/>
        <v>-1.0032082511826048</v>
      </c>
    </row>
    <row r="92" spans="1:22" x14ac:dyDescent="0.2">
      <c r="A92">
        <f t="shared" si="18"/>
        <v>91</v>
      </c>
      <c r="B92" s="2">
        <f t="shared" si="19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6">
        <v>4.5</v>
      </c>
      <c r="H92" s="5">
        <v>10</v>
      </c>
      <c r="I92" s="7" t="s">
        <v>20</v>
      </c>
      <c r="J92" s="8" t="s">
        <v>13</v>
      </c>
      <c r="K92">
        <v>290</v>
      </c>
      <c r="L92">
        <v>210.08629900607102</v>
      </c>
      <c r="M92">
        <v>210.32416178382425</v>
      </c>
      <c r="N92">
        <f t="shared" si="11"/>
        <v>0</v>
      </c>
      <c r="O92">
        <f t="shared" si="12"/>
        <v>1</v>
      </c>
      <c r="P92">
        <f t="shared" si="13"/>
        <v>0</v>
      </c>
      <c r="Q92">
        <f t="shared" si="14"/>
        <v>1</v>
      </c>
      <c r="R92">
        <f t="shared" si="15"/>
        <v>0</v>
      </c>
      <c r="S92">
        <v>1</v>
      </c>
      <c r="T92">
        <f t="shared" si="16"/>
        <v>0.17200645487186195</v>
      </c>
      <c r="U92">
        <v>-0.41059866440470072</v>
      </c>
      <c r="V92">
        <f t="shared" si="17"/>
        <v>-0.58260511927656267</v>
      </c>
    </row>
    <row r="93" spans="1:22" x14ac:dyDescent="0.2">
      <c r="A93">
        <f t="shared" si="18"/>
        <v>92</v>
      </c>
      <c r="B93" s="2">
        <f t="shared" si="19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6">
        <v>4.5</v>
      </c>
      <c r="H93" s="5">
        <v>10</v>
      </c>
      <c r="I93" s="7" t="s">
        <v>20</v>
      </c>
      <c r="J93" s="8" t="s">
        <v>18</v>
      </c>
      <c r="K93">
        <v>283</v>
      </c>
      <c r="L93">
        <v>113.49793514390502</v>
      </c>
      <c r="M93">
        <v>113.9376201345722</v>
      </c>
      <c r="N93">
        <f t="shared" si="11"/>
        <v>0</v>
      </c>
      <c r="O93">
        <f t="shared" si="12"/>
        <v>1</v>
      </c>
      <c r="P93">
        <f t="shared" si="13"/>
        <v>0</v>
      </c>
      <c r="Q93">
        <f t="shared" si="14"/>
        <v>1</v>
      </c>
      <c r="R93">
        <f t="shared" si="15"/>
        <v>0</v>
      </c>
      <c r="S93">
        <v>1</v>
      </c>
      <c r="T93">
        <f t="shared" si="16"/>
        <v>0.5544482051849039</v>
      </c>
      <c r="U93">
        <v>-0.19257993880429861</v>
      </c>
      <c r="V93">
        <f t="shared" si="17"/>
        <v>-0.74702814398920248</v>
      </c>
    </row>
    <row r="94" spans="1:22" x14ac:dyDescent="0.2">
      <c r="A94">
        <f t="shared" si="18"/>
        <v>93</v>
      </c>
      <c r="B94" s="2">
        <f t="shared" si="19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6">
        <v>3.8</v>
      </c>
      <c r="H94" s="5">
        <v>10</v>
      </c>
      <c r="I94" s="7" t="s">
        <v>20</v>
      </c>
      <c r="J94" s="8" t="s">
        <v>14</v>
      </c>
      <c r="K94">
        <v>210</v>
      </c>
      <c r="L94">
        <v>28.931001680991574</v>
      </c>
      <c r="M94">
        <v>30.610502417724824</v>
      </c>
      <c r="N94">
        <f t="shared" si="11"/>
        <v>0</v>
      </c>
      <c r="O94">
        <f t="shared" si="12"/>
        <v>1</v>
      </c>
      <c r="P94">
        <f t="shared" si="13"/>
        <v>0</v>
      </c>
      <c r="Q94">
        <f t="shared" si="14"/>
        <v>1</v>
      </c>
      <c r="R94">
        <f t="shared" si="15"/>
        <v>0</v>
      </c>
      <c r="S94">
        <v>1</v>
      </c>
      <c r="T94">
        <f t="shared" si="16"/>
        <v>0.74457642514428635</v>
      </c>
      <c r="U94">
        <v>-3.7544796148990325E-2</v>
      </c>
      <c r="V94">
        <f t="shared" si="17"/>
        <v>-0.78212122129327666</v>
      </c>
    </row>
    <row r="95" spans="1:22" x14ac:dyDescent="0.2">
      <c r="A95">
        <f t="shared" si="18"/>
        <v>94</v>
      </c>
      <c r="B95" s="2">
        <f t="shared" si="19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6">
        <v>4.2</v>
      </c>
      <c r="H95" s="5">
        <v>12</v>
      </c>
      <c r="I95" s="7" t="s">
        <v>20</v>
      </c>
      <c r="J95" s="8" t="s">
        <v>13</v>
      </c>
      <c r="K95">
        <v>290</v>
      </c>
      <c r="L95">
        <v>219.07442776542351</v>
      </c>
      <c r="M95">
        <v>219.40283703896759</v>
      </c>
      <c r="N95">
        <f t="shared" si="11"/>
        <v>0</v>
      </c>
      <c r="O95">
        <f t="shared" si="12"/>
        <v>1</v>
      </c>
      <c r="P95">
        <f t="shared" si="13"/>
        <v>0</v>
      </c>
      <c r="Q95">
        <f t="shared" si="14"/>
        <v>1</v>
      </c>
      <c r="R95">
        <f t="shared" si="15"/>
        <v>0</v>
      </c>
      <c r="S95">
        <v>1</v>
      </c>
      <c r="T95">
        <f t="shared" si="16"/>
        <v>-0.12243512889612918</v>
      </c>
      <c r="U95">
        <v>-0.56027684900661601</v>
      </c>
      <c r="V95">
        <f t="shared" si="17"/>
        <v>-0.43784172011048683</v>
      </c>
    </row>
    <row r="96" spans="1:22" x14ac:dyDescent="0.2">
      <c r="A96">
        <f t="shared" si="18"/>
        <v>95</v>
      </c>
      <c r="B96" s="2">
        <f t="shared" si="19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6">
        <v>4.2</v>
      </c>
      <c r="H96" s="5">
        <v>12</v>
      </c>
      <c r="I96" s="7" t="s">
        <v>20</v>
      </c>
      <c r="J96" s="8" t="s">
        <v>14</v>
      </c>
      <c r="K96">
        <v>210</v>
      </c>
      <c r="L96">
        <v>54.022115727964547</v>
      </c>
      <c r="M96">
        <v>55.33885603918457</v>
      </c>
      <c r="N96">
        <f t="shared" si="11"/>
        <v>0</v>
      </c>
      <c r="O96">
        <f t="shared" si="12"/>
        <v>1</v>
      </c>
      <c r="P96">
        <f t="shared" si="13"/>
        <v>0</v>
      </c>
      <c r="Q96">
        <f t="shared" si="14"/>
        <v>1</v>
      </c>
      <c r="R96">
        <f t="shared" si="15"/>
        <v>0</v>
      </c>
      <c r="S96">
        <v>1</v>
      </c>
      <c r="T96">
        <f t="shared" si="16"/>
        <v>0.77555150300912834</v>
      </c>
      <c r="U96">
        <v>-0.1919183785525847</v>
      </c>
      <c r="V96">
        <f t="shared" si="17"/>
        <v>-0.9674698815617131</v>
      </c>
    </row>
    <row r="97" spans="1:22" x14ac:dyDescent="0.2">
      <c r="A97">
        <f t="shared" si="18"/>
        <v>96</v>
      </c>
      <c r="B97" s="2">
        <f t="shared" si="19"/>
        <v>49</v>
      </c>
      <c r="C97" s="34">
        <v>43357</v>
      </c>
      <c r="D97" s="35">
        <v>0.16467592593107838</v>
      </c>
      <c r="E97" s="36">
        <v>-8.16</v>
      </c>
      <c r="F97" s="36">
        <v>116.37</v>
      </c>
      <c r="G97" s="6">
        <v>4.2</v>
      </c>
      <c r="H97" s="36">
        <v>12</v>
      </c>
      <c r="I97" s="2" t="s">
        <v>20</v>
      </c>
      <c r="J97" s="8" t="s">
        <v>15</v>
      </c>
      <c r="K97">
        <v>770</v>
      </c>
      <c r="L97">
        <v>68.094097247178624</v>
      </c>
      <c r="M97">
        <v>69.143373362226257</v>
      </c>
      <c r="N97">
        <f t="shared" si="11"/>
        <v>0</v>
      </c>
      <c r="O97">
        <f t="shared" si="12"/>
        <v>1</v>
      </c>
      <c r="P97">
        <f t="shared" si="13"/>
        <v>0</v>
      </c>
      <c r="Q97">
        <f t="shared" si="14"/>
        <v>1</v>
      </c>
      <c r="R97">
        <f t="shared" si="15"/>
        <v>0</v>
      </c>
      <c r="S97">
        <v>1</v>
      </c>
      <c r="T97">
        <f t="shared" si="16"/>
        <v>0.43474605638168651</v>
      </c>
      <c r="U97">
        <v>-0.36964607176692388</v>
      </c>
      <c r="V97">
        <f t="shared" si="17"/>
        <v>-0.80439212814861039</v>
      </c>
    </row>
    <row r="98" spans="1:22" x14ac:dyDescent="0.2">
      <c r="A98">
        <f t="shared" si="18"/>
        <v>97</v>
      </c>
      <c r="B98" s="2">
        <f t="shared" si="19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6">
        <v>4.2</v>
      </c>
      <c r="H98" s="5">
        <v>10</v>
      </c>
      <c r="I98" s="7" t="s">
        <v>20</v>
      </c>
      <c r="J98" s="8" t="s">
        <v>18</v>
      </c>
      <c r="K98">
        <v>283</v>
      </c>
      <c r="L98">
        <v>149.41083072966944</v>
      </c>
      <c r="M98">
        <v>149.74510455881332</v>
      </c>
      <c r="N98">
        <f t="shared" ref="N98:N129" si="20">IF(I98="normal",1,0)</f>
        <v>0</v>
      </c>
      <c r="O98">
        <f t="shared" ref="O98:O129" si="21">IF(I98="reverse",1,0)</f>
        <v>1</v>
      </c>
      <c r="P98">
        <f t="shared" si="13"/>
        <v>0</v>
      </c>
      <c r="Q98">
        <f t="shared" si="14"/>
        <v>1</v>
      </c>
      <c r="R98">
        <f t="shared" si="15"/>
        <v>0</v>
      </c>
      <c r="S98">
        <v>1</v>
      </c>
      <c r="T98">
        <f t="shared" si="16"/>
        <v>0.11802322533324183</v>
      </c>
      <c r="U98">
        <v>-0.56074595102735802</v>
      </c>
      <c r="V98">
        <f t="shared" si="17"/>
        <v>-0.67876917636059986</v>
      </c>
    </row>
    <row r="99" spans="1:22" x14ac:dyDescent="0.2">
      <c r="A99">
        <f t="shared" si="18"/>
        <v>98</v>
      </c>
      <c r="B99" s="2">
        <f t="shared" si="19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6">
        <v>3.5</v>
      </c>
      <c r="H99" s="5">
        <v>16</v>
      </c>
      <c r="I99" s="7" t="s">
        <v>20</v>
      </c>
      <c r="J99" s="8" t="s">
        <v>14</v>
      </c>
      <c r="K99">
        <v>210</v>
      </c>
      <c r="L99">
        <v>27.234821366102938</v>
      </c>
      <c r="M99">
        <v>31.586951338227262</v>
      </c>
      <c r="N99">
        <f t="shared" si="20"/>
        <v>0</v>
      </c>
      <c r="O99">
        <f t="shared" si="21"/>
        <v>1</v>
      </c>
      <c r="P99">
        <f t="shared" si="13"/>
        <v>0</v>
      </c>
      <c r="Q99">
        <f t="shared" si="14"/>
        <v>1</v>
      </c>
      <c r="R99">
        <f t="shared" si="15"/>
        <v>0</v>
      </c>
      <c r="S99">
        <v>1</v>
      </c>
      <c r="T99">
        <f t="shared" si="16"/>
        <v>0.40962179509476004</v>
      </c>
      <c r="U99">
        <v>-0.16806871625597089</v>
      </c>
      <c r="V99">
        <f t="shared" si="17"/>
        <v>-0.57769051135073091</v>
      </c>
    </row>
    <row r="100" spans="1:22" x14ac:dyDescent="0.2">
      <c r="A100">
        <f t="shared" si="18"/>
        <v>99</v>
      </c>
      <c r="B100" s="2">
        <f t="shared" si="19"/>
        <v>51</v>
      </c>
      <c r="C100" s="34">
        <v>43364</v>
      </c>
      <c r="D100" s="35">
        <v>0.28790509259852115</v>
      </c>
      <c r="E100" s="36">
        <v>-8.32</v>
      </c>
      <c r="F100" s="36">
        <v>116.12</v>
      </c>
      <c r="G100" s="6">
        <v>3.5</v>
      </c>
      <c r="H100" s="36">
        <v>16</v>
      </c>
      <c r="I100" s="2" t="s">
        <v>20</v>
      </c>
      <c r="J100" s="8" t="s">
        <v>15</v>
      </c>
      <c r="K100">
        <v>770</v>
      </c>
      <c r="L100">
        <v>52.611970116012088</v>
      </c>
      <c r="M100">
        <v>54.991084727327838</v>
      </c>
      <c r="N100">
        <f t="shared" si="20"/>
        <v>0</v>
      </c>
      <c r="O100">
        <f t="shared" si="21"/>
        <v>1</v>
      </c>
      <c r="P100">
        <f t="shared" si="13"/>
        <v>0</v>
      </c>
      <c r="Q100">
        <f t="shared" si="14"/>
        <v>1</v>
      </c>
      <c r="R100">
        <f t="shared" si="15"/>
        <v>0</v>
      </c>
      <c r="S100">
        <v>1</v>
      </c>
      <c r="T100">
        <f t="shared" si="16"/>
        <v>-0.13118901257716895</v>
      </c>
      <c r="U100">
        <v>-0.72358176286680997</v>
      </c>
      <c r="V100">
        <f t="shared" si="17"/>
        <v>-0.592392750289641</v>
      </c>
    </row>
    <row r="101" spans="1:22" x14ac:dyDescent="0.2">
      <c r="A101">
        <f t="shared" si="18"/>
        <v>100</v>
      </c>
      <c r="B101" s="2">
        <f t="shared" si="19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6">
        <v>4</v>
      </c>
      <c r="H101" s="5">
        <v>13</v>
      </c>
      <c r="I101" s="7" t="s">
        <v>20</v>
      </c>
      <c r="J101" s="8" t="s">
        <v>18</v>
      </c>
      <c r="K101">
        <v>283</v>
      </c>
      <c r="L101">
        <v>76.556929365864917</v>
      </c>
      <c r="M101">
        <v>77.652839187823844</v>
      </c>
      <c r="N101">
        <f t="shared" si="20"/>
        <v>0</v>
      </c>
      <c r="O101">
        <f t="shared" si="21"/>
        <v>1</v>
      </c>
      <c r="P101">
        <f t="shared" si="13"/>
        <v>0</v>
      </c>
      <c r="Q101">
        <f t="shared" si="14"/>
        <v>1</v>
      </c>
      <c r="R101">
        <f t="shared" si="15"/>
        <v>0</v>
      </c>
      <c r="S101">
        <v>0</v>
      </c>
      <c r="T101">
        <f t="shared" si="16"/>
        <v>0.33150786761012752</v>
      </c>
      <c r="U101">
        <v>-0.56367162343758248</v>
      </c>
      <c r="V101">
        <f t="shared" si="17"/>
        <v>-0.89517949104771</v>
      </c>
    </row>
    <row r="102" spans="1:22" x14ac:dyDescent="0.2">
      <c r="A102">
        <f t="shared" si="18"/>
        <v>101</v>
      </c>
      <c r="B102" s="2">
        <f t="shared" si="19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6">
        <v>3.7</v>
      </c>
      <c r="H102" s="5">
        <v>11</v>
      </c>
      <c r="I102" s="7" t="s">
        <v>20</v>
      </c>
      <c r="J102" s="8" t="s">
        <v>12</v>
      </c>
      <c r="K102">
        <v>386</v>
      </c>
      <c r="L102">
        <v>202.99354263663312</v>
      </c>
      <c r="M102">
        <v>203.29136320112224</v>
      </c>
      <c r="N102">
        <f t="shared" si="20"/>
        <v>0</v>
      </c>
      <c r="O102">
        <f t="shared" si="21"/>
        <v>1</v>
      </c>
      <c r="P102">
        <f t="shared" si="13"/>
        <v>0</v>
      </c>
      <c r="Q102">
        <f t="shared" si="14"/>
        <v>1</v>
      </c>
      <c r="R102">
        <f t="shared" si="15"/>
        <v>0</v>
      </c>
      <c r="S102">
        <v>0</v>
      </c>
      <c r="T102">
        <f t="shared" si="16"/>
        <v>-0.61322684620028567</v>
      </c>
      <c r="U102">
        <v>-0.5236223054350464</v>
      </c>
      <c r="V102">
        <f t="shared" si="17"/>
        <v>8.9604540765239271E-2</v>
      </c>
    </row>
    <row r="103" spans="1:22" x14ac:dyDescent="0.2">
      <c r="A103">
        <f t="shared" si="18"/>
        <v>102</v>
      </c>
      <c r="B103" s="2">
        <f t="shared" si="19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6">
        <v>4.9000000000000004</v>
      </c>
      <c r="H103" s="5">
        <v>10</v>
      </c>
      <c r="I103" s="7" t="s">
        <v>20</v>
      </c>
      <c r="J103" s="8" t="s">
        <v>14</v>
      </c>
      <c r="K103">
        <v>210</v>
      </c>
      <c r="L103">
        <v>74.843048563414939</v>
      </c>
      <c r="M103">
        <v>75.508157958366894</v>
      </c>
      <c r="N103">
        <f t="shared" si="20"/>
        <v>0</v>
      </c>
      <c r="O103">
        <f t="shared" si="21"/>
        <v>1</v>
      </c>
      <c r="P103">
        <f t="shared" si="13"/>
        <v>0</v>
      </c>
      <c r="Q103">
        <f t="shared" si="14"/>
        <v>1</v>
      </c>
      <c r="R103">
        <f t="shared" si="15"/>
        <v>0</v>
      </c>
      <c r="S103">
        <v>1</v>
      </c>
      <c r="T103">
        <f t="shared" si="16"/>
        <v>1.1787197002757981</v>
      </c>
      <c r="U103">
        <v>0.19568467698146486</v>
      </c>
      <c r="V103">
        <f t="shared" si="17"/>
        <v>-0.98303502329433323</v>
      </c>
    </row>
    <row r="104" spans="1:22" x14ac:dyDescent="0.2">
      <c r="A104">
        <f t="shared" si="18"/>
        <v>103</v>
      </c>
      <c r="B104" s="2">
        <f t="shared" si="19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6">
        <v>4.9000000000000004</v>
      </c>
      <c r="H104" s="5">
        <v>10</v>
      </c>
      <c r="I104" s="7" t="s">
        <v>20</v>
      </c>
      <c r="J104" s="8" t="s">
        <v>18</v>
      </c>
      <c r="K104">
        <v>283</v>
      </c>
      <c r="L104">
        <v>72.833909625461303</v>
      </c>
      <c r="M104">
        <v>73.517197928987102</v>
      </c>
      <c r="N104">
        <f t="shared" si="20"/>
        <v>0</v>
      </c>
      <c r="O104">
        <f t="shared" si="21"/>
        <v>1</v>
      </c>
      <c r="P104">
        <f t="shared" si="13"/>
        <v>0</v>
      </c>
      <c r="Q104">
        <f t="shared" si="14"/>
        <v>1</v>
      </c>
      <c r="R104">
        <f t="shared" si="15"/>
        <v>0</v>
      </c>
      <c r="S104">
        <v>0</v>
      </c>
      <c r="T104">
        <f t="shared" si="16"/>
        <v>1.1479898657776624</v>
      </c>
      <c r="U104">
        <v>0.41411386504490083</v>
      </c>
      <c r="V104">
        <f t="shared" si="17"/>
        <v>-0.7338760007327616</v>
      </c>
    </row>
    <row r="105" spans="1:22" x14ac:dyDescent="0.2">
      <c r="A105">
        <f t="shared" si="18"/>
        <v>104</v>
      </c>
      <c r="B105" s="2">
        <f t="shared" si="19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6">
        <v>4.5</v>
      </c>
      <c r="H105" s="5">
        <v>10</v>
      </c>
      <c r="I105" s="7" t="s">
        <v>20</v>
      </c>
      <c r="J105" s="8" t="s">
        <v>13</v>
      </c>
      <c r="K105">
        <v>290</v>
      </c>
      <c r="L105">
        <v>169.5752754141601</v>
      </c>
      <c r="M105">
        <v>169.86987382048724</v>
      </c>
      <c r="N105">
        <f t="shared" si="20"/>
        <v>0</v>
      </c>
      <c r="O105">
        <f t="shared" si="21"/>
        <v>1</v>
      </c>
      <c r="P105">
        <f t="shared" si="13"/>
        <v>0</v>
      </c>
      <c r="Q105">
        <f t="shared" si="14"/>
        <v>1</v>
      </c>
      <c r="R105">
        <f t="shared" si="15"/>
        <v>0</v>
      </c>
      <c r="S105">
        <v>0</v>
      </c>
      <c r="T105">
        <f t="shared" si="16"/>
        <v>0.30436268928351595</v>
      </c>
      <c r="U105">
        <v>-0.35136448248242308</v>
      </c>
      <c r="V105">
        <f t="shared" si="17"/>
        <v>-0.65572717176593898</v>
      </c>
    </row>
    <row r="106" spans="1:22" x14ac:dyDescent="0.2">
      <c r="A106">
        <f t="shared" si="18"/>
        <v>105</v>
      </c>
      <c r="B106" s="2">
        <f t="shared" si="19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6">
        <v>4.3</v>
      </c>
      <c r="H106" s="5">
        <v>10</v>
      </c>
      <c r="I106" s="7" t="s">
        <v>20</v>
      </c>
      <c r="J106" s="8" t="s">
        <v>13</v>
      </c>
      <c r="K106">
        <v>290</v>
      </c>
      <c r="L106">
        <v>191.39436649976986</v>
      </c>
      <c r="M106">
        <v>191.65542916350748</v>
      </c>
      <c r="N106">
        <f t="shared" si="20"/>
        <v>0</v>
      </c>
      <c r="O106">
        <f t="shared" si="21"/>
        <v>1</v>
      </c>
      <c r="P106">
        <f t="shared" si="13"/>
        <v>0</v>
      </c>
      <c r="Q106">
        <f t="shared" si="14"/>
        <v>1</v>
      </c>
      <c r="R106">
        <f t="shared" si="15"/>
        <v>0</v>
      </c>
      <c r="S106">
        <v>0</v>
      </c>
      <c r="T106">
        <f t="shared" si="16"/>
        <v>5.3194534868553855E-2</v>
      </c>
      <c r="U106">
        <v>-0.34096110410497432</v>
      </c>
      <c r="V106">
        <f t="shared" si="17"/>
        <v>-0.39415563897352818</v>
      </c>
    </row>
    <row r="107" spans="1:22" x14ac:dyDescent="0.2">
      <c r="A107">
        <f t="shared" si="18"/>
        <v>106</v>
      </c>
      <c r="B107" s="2">
        <f t="shared" si="19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6">
        <v>4.3</v>
      </c>
      <c r="H107" s="5">
        <v>10</v>
      </c>
      <c r="I107" s="7" t="s">
        <v>20</v>
      </c>
      <c r="J107" s="8" t="s">
        <v>14</v>
      </c>
      <c r="K107">
        <v>210</v>
      </c>
      <c r="L107">
        <v>62.335277789976317</v>
      </c>
      <c r="M107">
        <v>63.132296466654168</v>
      </c>
      <c r="N107">
        <f t="shared" si="20"/>
        <v>0</v>
      </c>
      <c r="O107">
        <f t="shared" si="21"/>
        <v>1</v>
      </c>
      <c r="P107">
        <f t="shared" si="13"/>
        <v>0</v>
      </c>
      <c r="Q107">
        <f t="shared" si="14"/>
        <v>1</v>
      </c>
      <c r="R107">
        <f t="shared" si="15"/>
        <v>0</v>
      </c>
      <c r="S107">
        <v>1</v>
      </c>
      <c r="T107">
        <f t="shared" si="16"/>
        <v>0.78682440539887344</v>
      </c>
      <c r="U107">
        <v>-5.4649787189163926E-2</v>
      </c>
      <c r="V107">
        <f t="shared" si="17"/>
        <v>-0.84147419258803735</v>
      </c>
    </row>
    <row r="108" spans="1:22" x14ac:dyDescent="0.2">
      <c r="A108">
        <f t="shared" si="18"/>
        <v>107</v>
      </c>
      <c r="B108" s="2">
        <f t="shared" si="19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6">
        <v>4.7</v>
      </c>
      <c r="H108" s="5">
        <v>10</v>
      </c>
      <c r="I108" s="7" t="s">
        <v>20</v>
      </c>
      <c r="J108" s="8" t="s">
        <v>13</v>
      </c>
      <c r="K108">
        <v>290</v>
      </c>
      <c r="L108">
        <v>153.54034510521262</v>
      </c>
      <c r="M108">
        <v>153.8656478068701</v>
      </c>
      <c r="N108">
        <f t="shared" si="20"/>
        <v>0</v>
      </c>
      <c r="O108">
        <f t="shared" si="21"/>
        <v>1</v>
      </c>
      <c r="P108">
        <f t="shared" si="13"/>
        <v>0</v>
      </c>
      <c r="Q108">
        <f t="shared" si="14"/>
        <v>1</v>
      </c>
      <c r="R108">
        <f t="shared" si="15"/>
        <v>0</v>
      </c>
      <c r="S108">
        <v>0</v>
      </c>
      <c r="T108">
        <f t="shared" si="16"/>
        <v>0.53271671424748634</v>
      </c>
      <c r="U108">
        <v>-0.23557535612061031</v>
      </c>
      <c r="V108">
        <f t="shared" si="17"/>
        <v>-0.76829207036809666</v>
      </c>
    </row>
    <row r="109" spans="1:22" x14ac:dyDescent="0.2">
      <c r="A109">
        <f t="shared" si="18"/>
        <v>108</v>
      </c>
      <c r="B109" s="2">
        <f t="shared" si="19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6">
        <v>3.8</v>
      </c>
      <c r="H109" s="5">
        <v>20</v>
      </c>
      <c r="I109" s="7" t="s">
        <v>20</v>
      </c>
      <c r="J109" s="8" t="s">
        <v>18</v>
      </c>
      <c r="K109">
        <v>283</v>
      </c>
      <c r="L109">
        <v>73.704865393879203</v>
      </c>
      <c r="M109">
        <v>76.370198262999509</v>
      </c>
      <c r="N109">
        <f t="shared" si="20"/>
        <v>0</v>
      </c>
      <c r="O109">
        <f t="shared" si="21"/>
        <v>1</v>
      </c>
      <c r="P109">
        <f t="shared" si="13"/>
        <v>0</v>
      </c>
      <c r="Q109">
        <f t="shared" si="14"/>
        <v>1</v>
      </c>
      <c r="R109">
        <f t="shared" si="15"/>
        <v>0</v>
      </c>
      <c r="S109">
        <v>0</v>
      </c>
      <c r="T109">
        <f t="shared" si="16"/>
        <v>0.14234153754492573</v>
      </c>
      <c r="U109">
        <v>-0.76434501667500143</v>
      </c>
      <c r="V109">
        <f t="shared" si="17"/>
        <v>-0.90668655421992717</v>
      </c>
    </row>
    <row r="110" spans="1:22" x14ac:dyDescent="0.2">
      <c r="A110">
        <f t="shared" si="18"/>
        <v>109</v>
      </c>
      <c r="B110" s="2">
        <f t="shared" si="19"/>
        <v>59</v>
      </c>
      <c r="C110" s="27">
        <v>43419</v>
      </c>
      <c r="D110" s="28">
        <v>0.82395833333333324</v>
      </c>
      <c r="E110" s="29">
        <v>-8.2100000000000009</v>
      </c>
      <c r="F110" s="29">
        <v>116.33</v>
      </c>
      <c r="G110" s="6">
        <v>3.7</v>
      </c>
      <c r="H110" s="29">
        <v>5</v>
      </c>
      <c r="I110" s="2" t="s">
        <v>20</v>
      </c>
      <c r="J110" s="8" t="s">
        <v>15</v>
      </c>
      <c r="K110">
        <v>770</v>
      </c>
      <c r="L110">
        <v>62.043000961657171</v>
      </c>
      <c r="M110">
        <v>62.244148064924083</v>
      </c>
      <c r="N110">
        <f t="shared" si="20"/>
        <v>0</v>
      </c>
      <c r="O110">
        <f t="shared" si="21"/>
        <v>1</v>
      </c>
      <c r="P110">
        <f t="shared" si="13"/>
        <v>0</v>
      </c>
      <c r="Q110">
        <f t="shared" si="14"/>
        <v>1</v>
      </c>
      <c r="R110">
        <f t="shared" si="15"/>
        <v>0</v>
      </c>
      <c r="S110">
        <v>1</v>
      </c>
      <c r="T110">
        <f t="shared" si="16"/>
        <v>6.3773133302357371E-3</v>
      </c>
      <c r="U110">
        <v>-0.63130515656722186</v>
      </c>
      <c r="V110">
        <f t="shared" si="17"/>
        <v>-0.63768246989745758</v>
      </c>
    </row>
    <row r="111" spans="1:22" x14ac:dyDescent="0.2">
      <c r="A111">
        <f t="shared" si="18"/>
        <v>110</v>
      </c>
      <c r="B111" s="2">
        <f t="shared" si="19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6">
        <v>3.7</v>
      </c>
      <c r="H111" s="5">
        <v>11</v>
      </c>
      <c r="I111" s="7" t="s">
        <v>20</v>
      </c>
      <c r="J111" s="8" t="s">
        <v>14</v>
      </c>
      <c r="K111">
        <v>210</v>
      </c>
      <c r="L111">
        <v>23.835078470597363</v>
      </c>
      <c r="M111">
        <v>26.25092313994946</v>
      </c>
      <c r="N111">
        <f t="shared" si="20"/>
        <v>0</v>
      </c>
      <c r="O111">
        <f t="shared" si="21"/>
        <v>1</v>
      </c>
      <c r="P111">
        <f t="shared" si="13"/>
        <v>0</v>
      </c>
      <c r="Q111">
        <f t="shared" si="14"/>
        <v>1</v>
      </c>
      <c r="R111">
        <f t="shared" si="15"/>
        <v>0</v>
      </c>
      <c r="S111">
        <v>1</v>
      </c>
      <c r="T111">
        <f t="shared" si="16"/>
        <v>0.73338051212279409</v>
      </c>
      <c r="U111">
        <v>0.13046423541398922</v>
      </c>
      <c r="V111">
        <f t="shared" si="17"/>
        <v>-0.60291627670880488</v>
      </c>
    </row>
    <row r="112" spans="1:22" x14ac:dyDescent="0.2">
      <c r="A112">
        <f t="shared" si="18"/>
        <v>111</v>
      </c>
      <c r="B112" s="2">
        <f t="shared" si="19"/>
        <v>60</v>
      </c>
      <c r="C112" s="27">
        <v>43421</v>
      </c>
      <c r="D112" s="28">
        <v>0.52866898148148145</v>
      </c>
      <c r="E112" s="29">
        <v>-8.35</v>
      </c>
      <c r="F112" s="29">
        <v>116.09</v>
      </c>
      <c r="G112" s="6">
        <v>3.7</v>
      </c>
      <c r="H112" s="29">
        <v>11</v>
      </c>
      <c r="I112" s="2" t="s">
        <v>20</v>
      </c>
      <c r="J112" s="8" t="s">
        <v>15</v>
      </c>
      <c r="K112">
        <v>770</v>
      </c>
      <c r="L112">
        <v>50.769469002227638</v>
      </c>
      <c r="M112">
        <v>51.94746367983862</v>
      </c>
      <c r="N112">
        <f t="shared" si="20"/>
        <v>0</v>
      </c>
      <c r="O112">
        <f t="shared" si="21"/>
        <v>1</v>
      </c>
      <c r="P112">
        <f t="shared" si="13"/>
        <v>0</v>
      </c>
      <c r="Q112">
        <f t="shared" si="14"/>
        <v>1</v>
      </c>
      <c r="R112">
        <f t="shared" si="15"/>
        <v>0</v>
      </c>
      <c r="S112">
        <v>1</v>
      </c>
      <c r="T112">
        <f t="shared" si="16"/>
        <v>0.11662524164763756</v>
      </c>
      <c r="U112">
        <v>-0.22780219904208968</v>
      </c>
      <c r="V112">
        <f t="shared" si="17"/>
        <v>-0.34442744068972725</v>
      </c>
    </row>
    <row r="113" spans="1:22" x14ac:dyDescent="0.2">
      <c r="A113">
        <f t="shared" si="18"/>
        <v>112</v>
      </c>
      <c r="B113" s="2">
        <f t="shared" si="19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6">
        <v>5.0999999999999996</v>
      </c>
      <c r="H113" s="5">
        <v>10</v>
      </c>
      <c r="I113" s="7" t="s">
        <v>20</v>
      </c>
      <c r="J113" s="8" t="s">
        <v>18</v>
      </c>
      <c r="K113">
        <v>283</v>
      </c>
      <c r="L113">
        <v>76.326023434540531</v>
      </c>
      <c r="M113">
        <v>76.978320671017698</v>
      </c>
      <c r="N113">
        <f t="shared" si="20"/>
        <v>0</v>
      </c>
      <c r="O113">
        <f t="shared" si="21"/>
        <v>1</v>
      </c>
      <c r="P113">
        <f t="shared" si="13"/>
        <v>0</v>
      </c>
      <c r="Q113">
        <f t="shared" si="14"/>
        <v>1</v>
      </c>
      <c r="R113">
        <f t="shared" si="15"/>
        <v>0</v>
      </c>
      <c r="S113">
        <v>0</v>
      </c>
      <c r="T113">
        <f t="shared" si="16"/>
        <v>1.2685224000306345</v>
      </c>
      <c r="U113">
        <v>0.46635882689247937</v>
      </c>
      <c r="V113">
        <f t="shared" si="17"/>
        <v>-0.80216357313815512</v>
      </c>
    </row>
    <row r="114" spans="1:22" x14ac:dyDescent="0.2">
      <c r="A114">
        <f t="shared" si="18"/>
        <v>113</v>
      </c>
      <c r="B114" s="2">
        <f t="shared" si="19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6">
        <v>5.0999999999999996</v>
      </c>
      <c r="H114" s="5">
        <v>10</v>
      </c>
      <c r="I114" s="7" t="s">
        <v>20</v>
      </c>
      <c r="J114" s="8" t="s">
        <v>16</v>
      </c>
      <c r="K114">
        <v>1141</v>
      </c>
      <c r="L114">
        <v>45.913425587818345</v>
      </c>
      <c r="M114">
        <v>46.989814313403414</v>
      </c>
      <c r="N114">
        <f t="shared" si="20"/>
        <v>0</v>
      </c>
      <c r="O114">
        <f t="shared" si="21"/>
        <v>1</v>
      </c>
      <c r="P114">
        <f t="shared" si="13"/>
        <v>0</v>
      </c>
      <c r="Q114">
        <f t="shared" si="14"/>
        <v>1</v>
      </c>
      <c r="R114">
        <f t="shared" si="15"/>
        <v>0</v>
      </c>
      <c r="S114">
        <v>0</v>
      </c>
      <c r="T114">
        <f t="shared" si="16"/>
        <v>1.349176896426546</v>
      </c>
      <c r="U114">
        <v>0.64323314637230011</v>
      </c>
      <c r="V114">
        <f t="shared" si="17"/>
        <v>-0.70594375005424592</v>
      </c>
    </row>
    <row r="115" spans="1:22" x14ac:dyDescent="0.2">
      <c r="A115" s="11">
        <f t="shared" si="18"/>
        <v>114</v>
      </c>
      <c r="B115" s="12">
        <f t="shared" si="19"/>
        <v>62</v>
      </c>
      <c r="C115" s="13">
        <v>43508</v>
      </c>
      <c r="D115" s="14">
        <v>0.71231481481481485</v>
      </c>
      <c r="E115" s="15">
        <v>-8.39</v>
      </c>
      <c r="F115" s="15">
        <v>116.84</v>
      </c>
      <c r="G115" s="16">
        <v>4.5</v>
      </c>
      <c r="H115" s="15">
        <v>10</v>
      </c>
      <c r="I115" s="17" t="s">
        <v>20</v>
      </c>
      <c r="J115" s="18" t="s">
        <v>16</v>
      </c>
      <c r="K115">
        <v>1141</v>
      </c>
      <c r="L115">
        <v>38.954393040170586</v>
      </c>
      <c r="M115">
        <v>40.217468059639089</v>
      </c>
      <c r="N115">
        <f t="shared" si="20"/>
        <v>0</v>
      </c>
      <c r="O115">
        <f t="shared" si="21"/>
        <v>1</v>
      </c>
      <c r="P115">
        <f t="shared" si="13"/>
        <v>0</v>
      </c>
      <c r="Q115">
        <f t="shared" si="14"/>
        <v>1</v>
      </c>
      <c r="R115">
        <f t="shared" si="15"/>
        <v>0</v>
      </c>
      <c r="S115">
        <v>0</v>
      </c>
      <c r="T115">
        <f t="shared" si="16"/>
        <v>0.9701056155424892</v>
      </c>
      <c r="U115">
        <v>0.20464174714779146</v>
      </c>
      <c r="V115">
        <f t="shared" si="17"/>
        <v>-0.76546386839469771</v>
      </c>
    </row>
    <row r="116" spans="1:22" x14ac:dyDescent="0.2">
      <c r="A116" s="11">
        <f t="shared" si="18"/>
        <v>115</v>
      </c>
      <c r="B116" s="12">
        <f t="shared" si="19"/>
        <v>63</v>
      </c>
      <c r="C116" s="37">
        <v>43541</v>
      </c>
      <c r="D116" s="14">
        <v>0.58848379629629632</v>
      </c>
      <c r="E116" s="15">
        <v>-8.4700000000000006</v>
      </c>
      <c r="F116" s="15">
        <v>116.55</v>
      </c>
      <c r="G116" s="16">
        <v>5.5</v>
      </c>
      <c r="H116" s="15">
        <v>19</v>
      </c>
      <c r="I116" s="12" t="s">
        <v>21</v>
      </c>
      <c r="J116" s="18" t="s">
        <v>15</v>
      </c>
      <c r="K116">
        <v>770</v>
      </c>
      <c r="L116">
        <v>44.602245905875868</v>
      </c>
      <c r="M116">
        <v>48.480515053454425</v>
      </c>
      <c r="N116">
        <f t="shared" si="20"/>
        <v>1</v>
      </c>
      <c r="O116">
        <f t="shared" si="21"/>
        <v>0</v>
      </c>
      <c r="P116">
        <f t="shared" si="13"/>
        <v>0</v>
      </c>
      <c r="Q116">
        <f t="shared" si="14"/>
        <v>1</v>
      </c>
      <c r="R116">
        <f t="shared" si="15"/>
        <v>0</v>
      </c>
      <c r="S116">
        <v>1</v>
      </c>
      <c r="T116">
        <f t="shared" si="16"/>
        <v>1.5188544677985338</v>
      </c>
      <c r="U116">
        <v>1.198916212116973</v>
      </c>
      <c r="V116">
        <f t="shared" si="17"/>
        <v>-0.31993825568156087</v>
      </c>
    </row>
    <row r="117" spans="1:22" x14ac:dyDescent="0.2">
      <c r="A117" s="11">
        <f t="shared" si="18"/>
        <v>116</v>
      </c>
      <c r="B117" s="12">
        <f t="shared" si="19"/>
        <v>63</v>
      </c>
      <c r="C117" s="13">
        <v>43541</v>
      </c>
      <c r="D117" s="14">
        <v>0.58848379629629632</v>
      </c>
      <c r="E117" s="15">
        <v>-8.4700000000000006</v>
      </c>
      <c r="F117" s="15">
        <v>116.55</v>
      </c>
      <c r="G117" s="16">
        <v>5.5</v>
      </c>
      <c r="H117" s="15">
        <v>19</v>
      </c>
      <c r="I117" s="12" t="s">
        <v>21</v>
      </c>
      <c r="J117" s="18" t="s">
        <v>16</v>
      </c>
      <c r="K117">
        <v>1141</v>
      </c>
      <c r="L117">
        <v>47.410108769841003</v>
      </c>
      <c r="M117">
        <v>51.075614666572093</v>
      </c>
      <c r="N117">
        <f t="shared" si="20"/>
        <v>1</v>
      </c>
      <c r="O117">
        <f t="shared" si="21"/>
        <v>0</v>
      </c>
      <c r="P117">
        <f t="shared" si="13"/>
        <v>0</v>
      </c>
      <c r="Q117">
        <f t="shared" si="14"/>
        <v>1</v>
      </c>
      <c r="R117">
        <f t="shared" si="15"/>
        <v>0</v>
      </c>
      <c r="S117">
        <v>1</v>
      </c>
      <c r="T117">
        <f t="shared" si="16"/>
        <v>1.4251850268462143</v>
      </c>
      <c r="U117">
        <v>0.72845256995276952</v>
      </c>
      <c r="V117">
        <f t="shared" si="17"/>
        <v>-0.69673245689344476</v>
      </c>
    </row>
    <row r="118" spans="1:22" x14ac:dyDescent="0.2">
      <c r="A118" s="11">
        <f t="shared" si="18"/>
        <v>117</v>
      </c>
      <c r="B118" s="12">
        <f t="shared" si="19"/>
        <v>64</v>
      </c>
      <c r="C118" s="37">
        <v>43541</v>
      </c>
      <c r="D118" s="14">
        <v>0.58981481481481479</v>
      </c>
      <c r="E118" s="15">
        <v>-8.51</v>
      </c>
      <c r="F118" s="15">
        <v>116.49</v>
      </c>
      <c r="G118" s="16">
        <v>5.0999999999999996</v>
      </c>
      <c r="H118" s="15">
        <v>11</v>
      </c>
      <c r="I118" s="12" t="s">
        <v>21</v>
      </c>
      <c r="J118" s="18" t="s">
        <v>15</v>
      </c>
      <c r="K118">
        <v>770</v>
      </c>
      <c r="L118">
        <v>36.872886592294471</v>
      </c>
      <c r="M118">
        <v>38.478692358865437</v>
      </c>
      <c r="N118">
        <f t="shared" si="20"/>
        <v>1</v>
      </c>
      <c r="O118">
        <f t="shared" si="21"/>
        <v>0</v>
      </c>
      <c r="P118">
        <f t="shared" si="13"/>
        <v>0</v>
      </c>
      <c r="Q118">
        <f t="shared" si="14"/>
        <v>1</v>
      </c>
      <c r="R118">
        <f t="shared" si="15"/>
        <v>0</v>
      </c>
      <c r="S118">
        <v>1</v>
      </c>
      <c r="T118">
        <f t="shared" si="16"/>
        <v>1.389212018329625</v>
      </c>
      <c r="U118">
        <v>1.1899746091130141</v>
      </c>
      <c r="V118">
        <f t="shared" si="17"/>
        <v>-0.19923740921661093</v>
      </c>
    </row>
    <row r="119" spans="1:22" x14ac:dyDescent="0.2">
      <c r="A119">
        <f t="shared" si="18"/>
        <v>118</v>
      </c>
      <c r="B119" s="2">
        <f t="shared" si="19"/>
        <v>65</v>
      </c>
      <c r="C119" s="34">
        <v>43571</v>
      </c>
      <c r="D119" s="35">
        <v>0.55440972223004792</v>
      </c>
      <c r="E119" s="36">
        <v>-8.2200000000000006</v>
      </c>
      <c r="F119" s="36">
        <v>116.76</v>
      </c>
      <c r="G119" s="6">
        <v>4.5999999999999996</v>
      </c>
      <c r="H119" s="36">
        <v>16</v>
      </c>
      <c r="I119" s="7" t="s">
        <v>20</v>
      </c>
      <c r="J119" s="8" t="s">
        <v>12</v>
      </c>
      <c r="K119">
        <v>386</v>
      </c>
      <c r="L119">
        <v>217.7283448303655</v>
      </c>
      <c r="M119">
        <v>218.31544183261647</v>
      </c>
      <c r="N119">
        <f t="shared" si="20"/>
        <v>0</v>
      </c>
      <c r="O119">
        <f t="shared" si="21"/>
        <v>1</v>
      </c>
      <c r="P119">
        <f t="shared" si="13"/>
        <v>0</v>
      </c>
      <c r="Q119">
        <f t="shared" si="14"/>
        <v>1</v>
      </c>
      <c r="R119">
        <f t="shared" si="15"/>
        <v>0</v>
      </c>
      <c r="S119">
        <v>0</v>
      </c>
      <c r="T119">
        <f t="shared" si="16"/>
        <v>0.18852766914178071</v>
      </c>
      <c r="U119">
        <v>-0.14762429201627125</v>
      </c>
      <c r="V119">
        <f t="shared" si="17"/>
        <v>-0.33615196115805196</v>
      </c>
    </row>
    <row r="120" spans="1:22" x14ac:dyDescent="0.2">
      <c r="A120">
        <f t="shared" si="18"/>
        <v>119</v>
      </c>
      <c r="B120" s="2">
        <f t="shared" si="19"/>
        <v>66</v>
      </c>
      <c r="C120" s="34">
        <v>43579</v>
      </c>
      <c r="D120" s="35">
        <v>0.76734953703999054</v>
      </c>
      <c r="E120" s="36">
        <v>-8.1</v>
      </c>
      <c r="F120" s="36">
        <v>117.71</v>
      </c>
      <c r="G120" s="6">
        <v>3.8</v>
      </c>
      <c r="H120" s="36">
        <v>10</v>
      </c>
      <c r="I120" s="7" t="s">
        <v>20</v>
      </c>
      <c r="J120" s="8" t="s">
        <v>12</v>
      </c>
      <c r="K120">
        <v>386</v>
      </c>
      <c r="L120">
        <v>119.77550230598494</v>
      </c>
      <c r="M120">
        <v>120.19222500915359</v>
      </c>
      <c r="N120">
        <f t="shared" si="20"/>
        <v>0</v>
      </c>
      <c r="O120">
        <f t="shared" si="21"/>
        <v>1</v>
      </c>
      <c r="P120">
        <f t="shared" si="13"/>
        <v>0</v>
      </c>
      <c r="Q120">
        <f t="shared" si="14"/>
        <v>1</v>
      </c>
      <c r="R120">
        <f t="shared" si="15"/>
        <v>0</v>
      </c>
      <c r="S120">
        <v>1</v>
      </c>
      <c r="T120">
        <f t="shared" si="16"/>
        <v>-0.18507488256681145</v>
      </c>
      <c r="U120">
        <v>-0.32995044754755964</v>
      </c>
      <c r="V120">
        <f t="shared" si="17"/>
        <v>-0.14487556498074819</v>
      </c>
    </row>
    <row r="121" spans="1:22" x14ac:dyDescent="0.2">
      <c r="A121">
        <f t="shared" si="18"/>
        <v>120</v>
      </c>
      <c r="B121" s="2">
        <f t="shared" si="19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6">
        <v>3.8</v>
      </c>
      <c r="H121" s="5">
        <v>10</v>
      </c>
      <c r="I121" s="7" t="s">
        <v>20</v>
      </c>
      <c r="J121" s="8" t="s">
        <v>16</v>
      </c>
      <c r="K121">
        <v>1141</v>
      </c>
      <c r="L121">
        <v>116.1383311956387</v>
      </c>
      <c r="M121">
        <v>116.568057258015</v>
      </c>
      <c r="N121">
        <f t="shared" si="20"/>
        <v>0</v>
      </c>
      <c r="O121">
        <f t="shared" si="21"/>
        <v>1</v>
      </c>
      <c r="P121">
        <f t="shared" si="13"/>
        <v>0</v>
      </c>
      <c r="Q121">
        <f t="shared" si="14"/>
        <v>1</v>
      </c>
      <c r="R121">
        <f t="shared" si="15"/>
        <v>0</v>
      </c>
      <c r="S121">
        <v>0</v>
      </c>
      <c r="T121">
        <f t="shared" si="16"/>
        <v>-0.33718099347558972</v>
      </c>
      <c r="U121">
        <v>-0.8860069480591416</v>
      </c>
      <c r="V121">
        <f t="shared" si="17"/>
        <v>-0.54882595458355188</v>
      </c>
    </row>
    <row r="122" spans="1:22" x14ac:dyDescent="0.2">
      <c r="A122">
        <f t="shared" si="18"/>
        <v>121</v>
      </c>
      <c r="B122" s="2">
        <f t="shared" si="19"/>
        <v>67</v>
      </c>
      <c r="C122" s="34">
        <v>43699</v>
      </c>
      <c r="D122" s="35">
        <v>0.37410879629629629</v>
      </c>
      <c r="E122" s="36">
        <v>-7.92</v>
      </c>
      <c r="F122" s="36">
        <v>117.15</v>
      </c>
      <c r="G122" s="6">
        <v>4.7</v>
      </c>
      <c r="H122" s="36">
        <v>10</v>
      </c>
      <c r="I122" s="7" t="s">
        <v>20</v>
      </c>
      <c r="J122" s="8" t="s">
        <v>12</v>
      </c>
      <c r="K122">
        <v>386</v>
      </c>
      <c r="L122">
        <v>184.86066146795699</v>
      </c>
      <c r="M122">
        <v>185.13093787471232</v>
      </c>
      <c r="N122">
        <f t="shared" si="20"/>
        <v>0</v>
      </c>
      <c r="O122">
        <f t="shared" si="21"/>
        <v>1</v>
      </c>
      <c r="P122">
        <f t="shared" si="13"/>
        <v>0</v>
      </c>
      <c r="Q122">
        <f t="shared" si="14"/>
        <v>1</v>
      </c>
      <c r="R122">
        <f t="shared" si="15"/>
        <v>0</v>
      </c>
      <c r="S122">
        <v>1</v>
      </c>
      <c r="T122">
        <f t="shared" si="16"/>
        <v>0.37325559150512555</v>
      </c>
      <c r="U122">
        <v>6.9274928676178307E-2</v>
      </c>
      <c r="V122">
        <f t="shared" si="17"/>
        <v>-0.30398066282894726</v>
      </c>
    </row>
    <row r="123" spans="1:22" x14ac:dyDescent="0.2">
      <c r="A123">
        <f t="shared" si="18"/>
        <v>122</v>
      </c>
      <c r="B123" s="2">
        <f t="shared" si="19"/>
        <v>67</v>
      </c>
      <c r="C123" s="34">
        <v>43699</v>
      </c>
      <c r="D123" s="35">
        <v>0.37410879629629629</v>
      </c>
      <c r="E123" s="36">
        <v>-7.92</v>
      </c>
      <c r="F123" s="36">
        <v>117.15</v>
      </c>
      <c r="G123" s="6">
        <v>4.7</v>
      </c>
      <c r="H123" s="36">
        <v>10</v>
      </c>
      <c r="I123" s="2" t="s">
        <v>20</v>
      </c>
      <c r="J123" s="8" t="s">
        <v>15</v>
      </c>
      <c r="K123">
        <v>770</v>
      </c>
      <c r="L123">
        <v>134.91677794532623</v>
      </c>
      <c r="M123">
        <v>135.28686917490725</v>
      </c>
      <c r="N123">
        <f t="shared" si="20"/>
        <v>0</v>
      </c>
      <c r="O123">
        <f t="shared" si="21"/>
        <v>1</v>
      </c>
      <c r="P123">
        <f t="shared" si="13"/>
        <v>0</v>
      </c>
      <c r="Q123">
        <f t="shared" si="14"/>
        <v>1</v>
      </c>
      <c r="R123">
        <f t="shared" si="15"/>
        <v>0</v>
      </c>
      <c r="S123">
        <v>1</v>
      </c>
      <c r="T123">
        <f t="shared" si="16"/>
        <v>0.45803973207448556</v>
      </c>
      <c r="U123">
        <v>-0.44895865985634115</v>
      </c>
      <c r="V123">
        <f t="shared" si="17"/>
        <v>-0.90699839193082665</v>
      </c>
    </row>
    <row r="124" spans="1:22" x14ac:dyDescent="0.2">
      <c r="A124">
        <f t="shared" si="18"/>
        <v>123</v>
      </c>
      <c r="B124" s="2">
        <f t="shared" si="19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6">
        <v>4.7</v>
      </c>
      <c r="H124" s="5">
        <v>10</v>
      </c>
      <c r="I124" s="7" t="s">
        <v>20</v>
      </c>
      <c r="J124" s="8" t="s">
        <v>18</v>
      </c>
      <c r="K124">
        <v>283</v>
      </c>
      <c r="L124">
        <v>69.541234354373785</v>
      </c>
      <c r="M124">
        <v>70.25655325683104</v>
      </c>
      <c r="N124">
        <f t="shared" si="20"/>
        <v>0</v>
      </c>
      <c r="O124">
        <f t="shared" si="21"/>
        <v>1</v>
      </c>
      <c r="P124">
        <f t="shared" si="13"/>
        <v>0</v>
      </c>
      <c r="Q124">
        <f t="shared" si="14"/>
        <v>1</v>
      </c>
      <c r="R124">
        <f t="shared" si="15"/>
        <v>0</v>
      </c>
      <c r="S124">
        <v>0</v>
      </c>
      <c r="T124">
        <f t="shared" si="16"/>
        <v>1.0178447731806473</v>
      </c>
      <c r="U124">
        <v>0.407324147280058</v>
      </c>
      <c r="V124">
        <f t="shared" si="17"/>
        <v>-0.61052062590058931</v>
      </c>
    </row>
    <row r="125" spans="1:22" x14ac:dyDescent="0.2">
      <c r="A125">
        <f t="shared" si="18"/>
        <v>124</v>
      </c>
      <c r="B125" s="2">
        <f t="shared" si="19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6">
        <v>4.7</v>
      </c>
      <c r="H125" s="5">
        <v>10</v>
      </c>
      <c r="I125" s="7" t="s">
        <v>20</v>
      </c>
      <c r="J125" s="8" t="s">
        <v>16</v>
      </c>
      <c r="K125">
        <v>1141</v>
      </c>
      <c r="L125">
        <v>95.643589621406889</v>
      </c>
      <c r="M125">
        <v>96.164942862085098</v>
      </c>
      <c r="N125">
        <f t="shared" si="20"/>
        <v>0</v>
      </c>
      <c r="O125">
        <f t="shared" si="21"/>
        <v>1</v>
      </c>
      <c r="P125">
        <f t="shared" si="13"/>
        <v>0</v>
      </c>
      <c r="Q125">
        <f t="shared" si="14"/>
        <v>1</v>
      </c>
      <c r="R125">
        <f t="shared" si="15"/>
        <v>0</v>
      </c>
      <c r="S125">
        <v>0</v>
      </c>
      <c r="T125">
        <f t="shared" si="16"/>
        <v>0.60580454460081112</v>
      </c>
      <c r="U125">
        <v>0.56434219071543323</v>
      </c>
      <c r="V125">
        <f t="shared" si="17"/>
        <v>-4.1462353885377889E-2</v>
      </c>
    </row>
    <row r="126" spans="1:22" x14ac:dyDescent="0.2">
      <c r="A126">
        <f t="shared" si="18"/>
        <v>125</v>
      </c>
      <c r="B126" s="2">
        <f t="shared" si="19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6">
        <v>4.5999999999999996</v>
      </c>
      <c r="H126" s="5">
        <v>10</v>
      </c>
      <c r="I126" s="7" t="s">
        <v>20</v>
      </c>
      <c r="J126" s="8" t="s">
        <v>13</v>
      </c>
      <c r="K126">
        <v>290</v>
      </c>
      <c r="L126">
        <v>96.937892582870234</v>
      </c>
      <c r="M126">
        <v>97.452321770228167</v>
      </c>
      <c r="N126">
        <f t="shared" si="20"/>
        <v>0</v>
      </c>
      <c r="O126">
        <f t="shared" si="21"/>
        <v>1</v>
      </c>
      <c r="P126">
        <f t="shared" si="13"/>
        <v>0</v>
      </c>
      <c r="Q126">
        <f t="shared" si="14"/>
        <v>1</v>
      </c>
      <c r="R126">
        <f t="shared" si="15"/>
        <v>0</v>
      </c>
      <c r="S126">
        <v>1</v>
      </c>
      <c r="T126">
        <f t="shared" si="16"/>
        <v>0.7312982965958903</v>
      </c>
      <c r="U126">
        <v>0.21400281368994381</v>
      </c>
      <c r="V126">
        <f t="shared" si="17"/>
        <v>-0.51729548290594651</v>
      </c>
    </row>
    <row r="127" spans="1:22" x14ac:dyDescent="0.2">
      <c r="A127">
        <f t="shared" si="18"/>
        <v>126</v>
      </c>
      <c r="B127" s="2">
        <f t="shared" si="19"/>
        <v>68</v>
      </c>
      <c r="C127" s="38">
        <v>43720</v>
      </c>
      <c r="D127" s="39">
        <v>0.27743055555555557</v>
      </c>
      <c r="E127" s="40">
        <v>-7.89</v>
      </c>
      <c r="F127" s="40">
        <v>117.69</v>
      </c>
      <c r="G127" s="6">
        <v>4.5999999999999996</v>
      </c>
      <c r="H127" s="40">
        <v>10</v>
      </c>
      <c r="I127" s="2" t="s">
        <v>20</v>
      </c>
      <c r="J127" s="8" t="s">
        <v>15</v>
      </c>
      <c r="K127">
        <v>770</v>
      </c>
      <c r="L127">
        <v>184.53152886292455</v>
      </c>
      <c r="M127">
        <v>184.80228663219606</v>
      </c>
      <c r="N127">
        <f t="shared" si="20"/>
        <v>0</v>
      </c>
      <c r="O127">
        <f t="shared" si="21"/>
        <v>1</v>
      </c>
      <c r="P127">
        <f t="shared" si="13"/>
        <v>0</v>
      </c>
      <c r="Q127">
        <f t="shared" si="14"/>
        <v>1</v>
      </c>
      <c r="R127">
        <f t="shared" si="15"/>
        <v>0</v>
      </c>
      <c r="S127">
        <v>0</v>
      </c>
      <c r="T127">
        <f t="shared" si="16"/>
        <v>0.18296347518309064</v>
      </c>
      <c r="U127">
        <v>-0.73018335744529306</v>
      </c>
      <c r="V127">
        <f t="shared" si="17"/>
        <v>-0.9131468326283837</v>
      </c>
    </row>
    <row r="128" spans="1:22" x14ac:dyDescent="0.2">
      <c r="A128">
        <f t="shared" si="18"/>
        <v>127</v>
      </c>
      <c r="B128" s="2">
        <f t="shared" si="19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6">
        <v>4.5999999999999996</v>
      </c>
      <c r="H128" s="5">
        <v>10</v>
      </c>
      <c r="I128" s="7" t="s">
        <v>20</v>
      </c>
      <c r="J128" s="8" t="s">
        <v>18</v>
      </c>
      <c r="K128">
        <v>283</v>
      </c>
      <c r="L128">
        <v>73.219283176838076</v>
      </c>
      <c r="M128">
        <v>73.899008308163403</v>
      </c>
      <c r="N128">
        <f t="shared" si="20"/>
        <v>0</v>
      </c>
      <c r="O128">
        <f t="shared" si="21"/>
        <v>1</v>
      </c>
      <c r="P128">
        <f t="shared" si="13"/>
        <v>0</v>
      </c>
      <c r="Q128">
        <f t="shared" si="14"/>
        <v>1</v>
      </c>
      <c r="R128">
        <f t="shared" si="15"/>
        <v>0</v>
      </c>
      <c r="S128">
        <v>0</v>
      </c>
      <c r="T128">
        <f t="shared" si="16"/>
        <v>0.90457371128905506</v>
      </c>
      <c r="U128">
        <v>0.12287896006126747</v>
      </c>
      <c r="V128">
        <f t="shared" si="17"/>
        <v>-0.78169475122778764</v>
      </c>
    </row>
    <row r="129" spans="1:22" x14ac:dyDescent="0.2">
      <c r="A129">
        <f t="shared" si="18"/>
        <v>128</v>
      </c>
      <c r="B129" s="2">
        <f t="shared" si="19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6">
        <v>4.5999999999999996</v>
      </c>
      <c r="H129" s="5">
        <v>10</v>
      </c>
      <c r="I129" s="7" t="s">
        <v>20</v>
      </c>
      <c r="J129" s="8" t="s">
        <v>16</v>
      </c>
      <c r="K129">
        <v>1141</v>
      </c>
      <c r="L129">
        <v>130.14062651273792</v>
      </c>
      <c r="M129">
        <v>130.52426084497833</v>
      </c>
      <c r="N129">
        <f t="shared" si="20"/>
        <v>0</v>
      </c>
      <c r="O129">
        <f t="shared" si="21"/>
        <v>1</v>
      </c>
      <c r="P129">
        <f t="shared" si="13"/>
        <v>0</v>
      </c>
      <c r="Q129">
        <f t="shared" si="14"/>
        <v>1</v>
      </c>
      <c r="R129">
        <f t="shared" si="15"/>
        <v>0</v>
      </c>
      <c r="S129">
        <v>0</v>
      </c>
      <c r="T129">
        <f t="shared" si="16"/>
        <v>0.33564284429408986</v>
      </c>
      <c r="U129">
        <v>-8.584036204541344E-2</v>
      </c>
      <c r="V129">
        <f t="shared" si="17"/>
        <v>-0.42148320633950331</v>
      </c>
    </row>
    <row r="130" spans="1:22" x14ac:dyDescent="0.2">
      <c r="A130">
        <f t="shared" si="18"/>
        <v>129</v>
      </c>
      <c r="B130" s="2">
        <f t="shared" si="19"/>
        <v>69</v>
      </c>
      <c r="C130" s="34">
        <v>43836</v>
      </c>
      <c r="D130" s="35">
        <v>0.81380787037037028</v>
      </c>
      <c r="E130" s="36">
        <v>-8.17</v>
      </c>
      <c r="F130" s="36">
        <v>118.52</v>
      </c>
      <c r="G130" s="6">
        <v>4.4000000000000004</v>
      </c>
      <c r="H130" s="36">
        <v>14</v>
      </c>
      <c r="I130" s="7" t="s">
        <v>20</v>
      </c>
      <c r="J130" s="8" t="s">
        <v>12</v>
      </c>
      <c r="K130">
        <v>386</v>
      </c>
      <c r="L130">
        <v>45.650378932391213</v>
      </c>
      <c r="M130">
        <v>47.748896287463104</v>
      </c>
      <c r="N130">
        <f t="shared" ref="N130:N157" si="22">IF(I130="normal",1,0)</f>
        <v>0</v>
      </c>
      <c r="O130">
        <f t="shared" ref="O130:O157" si="23">IF(I130="reverse",1,0)</f>
        <v>1</v>
      </c>
      <c r="P130">
        <f t="shared" si="13"/>
        <v>0</v>
      </c>
      <c r="Q130">
        <f t="shared" si="14"/>
        <v>1</v>
      </c>
      <c r="R130">
        <f t="shared" si="15"/>
        <v>0</v>
      </c>
      <c r="S130">
        <v>0</v>
      </c>
      <c r="T130">
        <f t="shared" si="16"/>
        <v>0.95009088035217659</v>
      </c>
      <c r="U130">
        <v>0.2232000116948058</v>
      </c>
      <c r="V130">
        <f t="shared" si="17"/>
        <v>-0.72689086865737074</v>
      </c>
    </row>
    <row r="131" spans="1:22" x14ac:dyDescent="0.2">
      <c r="A131">
        <f t="shared" si="18"/>
        <v>130</v>
      </c>
      <c r="B131" s="2">
        <f t="shared" si="19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6">
        <v>4.4000000000000004</v>
      </c>
      <c r="H131" s="5">
        <v>14</v>
      </c>
      <c r="I131" s="7" t="s">
        <v>20</v>
      </c>
      <c r="J131" s="8" t="s">
        <v>13</v>
      </c>
      <c r="K131">
        <v>290</v>
      </c>
      <c r="L131">
        <v>43.516837554768216</v>
      </c>
      <c r="M131">
        <v>45.713402310133134</v>
      </c>
      <c r="N131">
        <f t="shared" si="22"/>
        <v>0</v>
      </c>
      <c r="O131">
        <f t="shared" si="23"/>
        <v>1</v>
      </c>
      <c r="P131">
        <f t="shared" ref="P131:P157" si="24">IF(I131="strike slip",1,0)</f>
        <v>0</v>
      </c>
      <c r="Q131">
        <f t="shared" ref="Q131:Q157" si="25">IF(G131&gt;$X$3,0,1)</f>
        <v>1</v>
      </c>
      <c r="R131">
        <f t="shared" ref="R131:R157" si="26">IF(G131&gt;$X$3,1,0)</f>
        <v>0</v>
      </c>
      <c r="S131">
        <v>0</v>
      </c>
      <c r="T131">
        <f t="shared" ref="T131:T157" si="27">$X$6+($X$7+$X$8*(G131-$X$2))*LOG10((SQRT((M131^2)+($X$9^2))/$X$4))-$X$10*(SQRT((M131^2)+($X$9^2))-$X$4)+Q131*$X$11*(G131-$X$3)+Q131*$X$12*((G131-$X$3)^2)+R131*$X$13*(G131-$X$3)+$X$14*LOG10(K131/$X$5)+$X$15*N131+$X$16*O131+$X$17*P131</f>
        <v>1.0216347481776709</v>
      </c>
      <c r="U131">
        <v>0.67266587192161065</v>
      </c>
      <c r="V131">
        <f t="shared" ref="V131:V157" si="28">U131-T131</f>
        <v>-0.34896887625606021</v>
      </c>
    </row>
    <row r="132" spans="1:22" x14ac:dyDescent="0.2">
      <c r="A132">
        <f t="shared" ref="A132:A157" si="29">A131+1</f>
        <v>131</v>
      </c>
      <c r="B132" s="2">
        <f t="shared" si="19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6">
        <v>4.4000000000000004</v>
      </c>
      <c r="H132" s="5">
        <v>14</v>
      </c>
      <c r="I132" s="7" t="s">
        <v>20</v>
      </c>
      <c r="J132" s="8" t="s">
        <v>18</v>
      </c>
      <c r="K132">
        <v>283</v>
      </c>
      <c r="L132">
        <v>127.96159236009052</v>
      </c>
      <c r="M132">
        <v>128.72516894271291</v>
      </c>
      <c r="N132">
        <f t="shared" si="22"/>
        <v>0</v>
      </c>
      <c r="O132">
        <f t="shared" si="23"/>
        <v>1</v>
      </c>
      <c r="P132">
        <f t="shared" si="24"/>
        <v>0</v>
      </c>
      <c r="Q132">
        <f t="shared" si="25"/>
        <v>1</v>
      </c>
      <c r="R132">
        <f t="shared" si="26"/>
        <v>0</v>
      </c>
      <c r="S132">
        <v>1</v>
      </c>
      <c r="T132">
        <f t="shared" si="27"/>
        <v>0.39231759093832241</v>
      </c>
      <c r="U132">
        <v>-0.27126628751831228</v>
      </c>
      <c r="V132">
        <f t="shared" si="28"/>
        <v>-0.66358387845663469</v>
      </c>
    </row>
    <row r="133" spans="1:22" x14ac:dyDescent="0.2">
      <c r="A133" s="11">
        <f t="shared" si="29"/>
        <v>132</v>
      </c>
      <c r="B133" s="12">
        <f t="shared" si="19"/>
        <v>69</v>
      </c>
      <c r="C133" s="13">
        <v>43836</v>
      </c>
      <c r="D133" s="14">
        <v>0.81380787037037028</v>
      </c>
      <c r="E133" s="15">
        <v>-8.17</v>
      </c>
      <c r="F133" s="15">
        <v>118.52</v>
      </c>
      <c r="G133" s="16">
        <v>4.4000000000000004</v>
      </c>
      <c r="H133" s="15">
        <v>14</v>
      </c>
      <c r="I133" s="17" t="s">
        <v>20</v>
      </c>
      <c r="J133" s="18" t="s">
        <v>16</v>
      </c>
      <c r="K133">
        <v>1141</v>
      </c>
      <c r="L133">
        <v>192.61618215084559</v>
      </c>
      <c r="M133">
        <v>193.12429579513741</v>
      </c>
      <c r="N133">
        <f t="shared" si="22"/>
        <v>0</v>
      </c>
      <c r="O133">
        <f t="shared" si="23"/>
        <v>1</v>
      </c>
      <c r="P133">
        <f t="shared" si="24"/>
        <v>0</v>
      </c>
      <c r="Q133">
        <f t="shared" si="25"/>
        <v>1</v>
      </c>
      <c r="R133">
        <f t="shared" si="26"/>
        <v>0</v>
      </c>
      <c r="S133">
        <v>0</v>
      </c>
      <c r="T133">
        <f t="shared" si="27"/>
        <v>-7.8214294692239034E-2</v>
      </c>
      <c r="U133">
        <v>-0.85355782206469599</v>
      </c>
      <c r="V133">
        <f t="shared" si="28"/>
        <v>-0.77534352737245693</v>
      </c>
    </row>
    <row r="134" spans="1:22" x14ac:dyDescent="0.2">
      <c r="A134">
        <f t="shared" si="29"/>
        <v>133</v>
      </c>
      <c r="B134" s="2">
        <f t="shared" si="19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6">
        <v>4.4000000000000004</v>
      </c>
      <c r="H134" s="5">
        <v>26</v>
      </c>
      <c r="I134" s="7" t="s">
        <v>20</v>
      </c>
      <c r="J134" s="8" t="s">
        <v>13</v>
      </c>
      <c r="K134">
        <v>290</v>
      </c>
      <c r="L134">
        <v>93.582452874927512</v>
      </c>
      <c r="M134">
        <v>97.127109944072913</v>
      </c>
      <c r="N134">
        <f t="shared" si="22"/>
        <v>0</v>
      </c>
      <c r="O134">
        <f t="shared" si="23"/>
        <v>1</v>
      </c>
      <c r="P134">
        <f t="shared" si="24"/>
        <v>0</v>
      </c>
      <c r="Q134">
        <f t="shared" si="25"/>
        <v>1</v>
      </c>
      <c r="R134">
        <f t="shared" si="26"/>
        <v>0</v>
      </c>
      <c r="S134">
        <v>0</v>
      </c>
      <c r="T134">
        <f t="shared" si="27"/>
        <v>0.56160852256356819</v>
      </c>
      <c r="U134">
        <v>0.33650949408665226</v>
      </c>
      <c r="V134">
        <f t="shared" si="28"/>
        <v>-0.22509902847691593</v>
      </c>
    </row>
    <row r="135" spans="1:22" x14ac:dyDescent="0.2">
      <c r="A135" s="11">
        <f t="shared" si="29"/>
        <v>134</v>
      </c>
      <c r="B135" s="12">
        <f t="shared" ref="B135:B157" si="30">IF(D135=D134,B134,B134+1)</f>
        <v>70</v>
      </c>
      <c r="C135" s="13">
        <v>43879</v>
      </c>
      <c r="D135" s="14">
        <v>0.60881944444444447</v>
      </c>
      <c r="E135" s="15">
        <v>-7.83</v>
      </c>
      <c r="F135" s="15">
        <v>118.82</v>
      </c>
      <c r="G135" s="16">
        <v>4.4000000000000004</v>
      </c>
      <c r="H135" s="15">
        <v>26</v>
      </c>
      <c r="I135" s="17" t="s">
        <v>20</v>
      </c>
      <c r="J135" s="18" t="s">
        <v>16</v>
      </c>
      <c r="K135">
        <v>1141</v>
      </c>
      <c r="L135">
        <v>237.77709132514747</v>
      </c>
      <c r="M135">
        <v>239.19436690492424</v>
      </c>
      <c r="N135">
        <f t="shared" si="22"/>
        <v>0</v>
      </c>
      <c r="O135">
        <f t="shared" si="23"/>
        <v>1</v>
      </c>
      <c r="P135">
        <f t="shared" si="24"/>
        <v>0</v>
      </c>
      <c r="Q135">
        <f t="shared" si="25"/>
        <v>1</v>
      </c>
      <c r="R135">
        <f t="shared" si="26"/>
        <v>0</v>
      </c>
      <c r="S135">
        <v>1</v>
      </c>
      <c r="T135">
        <f t="shared" si="27"/>
        <v>-0.21111944979681604</v>
      </c>
      <c r="U135">
        <v>-1.1250499189120224</v>
      </c>
      <c r="V135">
        <f t="shared" si="28"/>
        <v>-0.91393046911520637</v>
      </c>
    </row>
    <row r="136" spans="1:22" x14ac:dyDescent="0.2">
      <c r="A136">
        <f t="shared" si="29"/>
        <v>135</v>
      </c>
      <c r="B136" s="2">
        <f t="shared" si="30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6">
        <v>3.6</v>
      </c>
      <c r="H136" s="5">
        <v>10</v>
      </c>
      <c r="I136" s="7" t="s">
        <v>20</v>
      </c>
      <c r="J136" s="8" t="s">
        <v>13</v>
      </c>
      <c r="K136">
        <v>290</v>
      </c>
      <c r="L136">
        <v>191.64887216059438</v>
      </c>
      <c r="M136">
        <v>191.90958860991768</v>
      </c>
      <c r="N136">
        <f t="shared" si="22"/>
        <v>0</v>
      </c>
      <c r="O136">
        <f t="shared" si="23"/>
        <v>1</v>
      </c>
      <c r="P136">
        <f t="shared" si="24"/>
        <v>0</v>
      </c>
      <c r="Q136">
        <f t="shared" si="25"/>
        <v>1</v>
      </c>
      <c r="R136">
        <f t="shared" si="26"/>
        <v>0</v>
      </c>
      <c r="S136">
        <v>0</v>
      </c>
      <c r="T136">
        <f t="shared" si="27"/>
        <v>-0.63787792640393126</v>
      </c>
      <c r="U136">
        <v>-0.94057918277167574</v>
      </c>
      <c r="V136">
        <f t="shared" si="28"/>
        <v>-0.30270125636774448</v>
      </c>
    </row>
    <row r="137" spans="1:22" x14ac:dyDescent="0.2">
      <c r="A137">
        <f t="shared" si="29"/>
        <v>136</v>
      </c>
      <c r="B137" s="2">
        <f t="shared" si="30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6">
        <v>3.6</v>
      </c>
      <c r="H137" s="5">
        <v>10</v>
      </c>
      <c r="I137" s="7" t="s">
        <v>20</v>
      </c>
      <c r="J137" s="8" t="s">
        <v>16</v>
      </c>
      <c r="K137">
        <v>1141</v>
      </c>
      <c r="L137">
        <v>49.632687466105466</v>
      </c>
      <c r="M137">
        <v>50.63006680923997</v>
      </c>
      <c r="N137">
        <f t="shared" si="22"/>
        <v>0</v>
      </c>
      <c r="O137">
        <f t="shared" si="23"/>
        <v>1</v>
      </c>
      <c r="P137">
        <f t="shared" si="24"/>
        <v>0</v>
      </c>
      <c r="Q137">
        <f t="shared" si="25"/>
        <v>1</v>
      </c>
      <c r="R137">
        <f t="shared" si="26"/>
        <v>0</v>
      </c>
      <c r="S137">
        <v>1</v>
      </c>
      <c r="T137">
        <f t="shared" si="27"/>
        <v>-3.5182834278383507E-2</v>
      </c>
      <c r="U137">
        <v>-0.53249988305679419</v>
      </c>
      <c r="V137">
        <f t="shared" si="28"/>
        <v>-0.49731704877841065</v>
      </c>
    </row>
    <row r="138" spans="1:22" x14ac:dyDescent="0.2">
      <c r="A138">
        <f t="shared" si="29"/>
        <v>137</v>
      </c>
      <c r="B138" s="2">
        <f t="shared" si="30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6">
        <v>3.8</v>
      </c>
      <c r="H138" s="5">
        <v>12</v>
      </c>
      <c r="I138" s="7" t="s">
        <v>20</v>
      </c>
      <c r="J138" s="8" t="s">
        <v>13</v>
      </c>
      <c r="K138">
        <v>290</v>
      </c>
      <c r="L138">
        <v>231.58708017250825</v>
      </c>
      <c r="M138">
        <v>231.89776993931565</v>
      </c>
      <c r="N138">
        <f t="shared" si="22"/>
        <v>0</v>
      </c>
      <c r="O138">
        <f t="shared" si="23"/>
        <v>1</v>
      </c>
      <c r="P138">
        <f t="shared" si="24"/>
        <v>0</v>
      </c>
      <c r="Q138">
        <f t="shared" si="25"/>
        <v>1</v>
      </c>
      <c r="R138">
        <f t="shared" si="26"/>
        <v>0</v>
      </c>
      <c r="S138">
        <v>1</v>
      </c>
      <c r="T138">
        <f t="shared" si="27"/>
        <v>-0.54676939570724703</v>
      </c>
      <c r="U138">
        <v>-1.0591167336279845</v>
      </c>
      <c r="V138">
        <f t="shared" si="28"/>
        <v>-0.5123473379207375</v>
      </c>
    </row>
    <row r="139" spans="1:22" x14ac:dyDescent="0.2">
      <c r="A139">
        <f t="shared" si="29"/>
        <v>138</v>
      </c>
      <c r="B139" s="2">
        <f t="shared" si="30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6">
        <v>3.8</v>
      </c>
      <c r="H139" s="5">
        <v>12</v>
      </c>
      <c r="I139" s="7" t="s">
        <v>20</v>
      </c>
      <c r="J139" s="8" t="s">
        <v>14</v>
      </c>
      <c r="K139">
        <v>210</v>
      </c>
      <c r="L139">
        <v>23.286409728284827</v>
      </c>
      <c r="M139">
        <v>26.196505072882495</v>
      </c>
      <c r="N139">
        <f t="shared" si="22"/>
        <v>0</v>
      </c>
      <c r="O139">
        <f t="shared" si="23"/>
        <v>1</v>
      </c>
      <c r="P139">
        <f t="shared" si="24"/>
        <v>0</v>
      </c>
      <c r="Q139">
        <f t="shared" si="25"/>
        <v>1</v>
      </c>
      <c r="R139">
        <f t="shared" si="26"/>
        <v>0</v>
      </c>
      <c r="S139">
        <v>0</v>
      </c>
      <c r="T139">
        <f t="shared" si="27"/>
        <v>0.83766405358335572</v>
      </c>
      <c r="U139">
        <v>-0.12316265583641268</v>
      </c>
      <c r="V139">
        <f t="shared" si="28"/>
        <v>-0.96082670941976844</v>
      </c>
    </row>
    <row r="140" spans="1:22" x14ac:dyDescent="0.2">
      <c r="A140">
        <f t="shared" si="29"/>
        <v>139</v>
      </c>
      <c r="B140" s="2">
        <f t="shared" si="30"/>
        <v>72</v>
      </c>
      <c r="C140" s="33">
        <v>43892</v>
      </c>
      <c r="D140" s="4">
        <v>0.968287037037037</v>
      </c>
      <c r="E140" s="5">
        <v>-8.4</v>
      </c>
      <c r="F140" s="5">
        <v>116.23</v>
      </c>
      <c r="G140" s="6">
        <v>3.8</v>
      </c>
      <c r="H140" s="5">
        <v>12</v>
      </c>
      <c r="I140" s="2" t="s">
        <v>20</v>
      </c>
      <c r="J140" s="8" t="s">
        <v>15</v>
      </c>
      <c r="K140">
        <v>770</v>
      </c>
      <c r="L140">
        <v>41.034935023077367</v>
      </c>
      <c r="M140">
        <v>42.753548301260111</v>
      </c>
      <c r="N140">
        <f t="shared" si="22"/>
        <v>0</v>
      </c>
      <c r="O140">
        <f t="shared" si="23"/>
        <v>1</v>
      </c>
      <c r="P140">
        <f t="shared" si="24"/>
        <v>0</v>
      </c>
      <c r="Q140">
        <f t="shared" si="25"/>
        <v>1</v>
      </c>
      <c r="R140">
        <f t="shared" si="26"/>
        <v>0</v>
      </c>
      <c r="S140">
        <v>0</v>
      </c>
      <c r="T140">
        <f t="shared" si="27"/>
        <v>0.33805559392229767</v>
      </c>
      <c r="U140">
        <v>-0.72951529489571898</v>
      </c>
      <c r="V140">
        <f t="shared" si="28"/>
        <v>-1.0675708888180167</v>
      </c>
    </row>
    <row r="141" spans="1:22" x14ac:dyDescent="0.2">
      <c r="A141">
        <f t="shared" si="29"/>
        <v>140</v>
      </c>
      <c r="B141" s="2">
        <f t="shared" si="30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6">
        <v>3.8</v>
      </c>
      <c r="H141" s="5">
        <v>12</v>
      </c>
      <c r="I141" s="7" t="s">
        <v>20</v>
      </c>
      <c r="J141" s="8" t="s">
        <v>18</v>
      </c>
      <c r="K141">
        <v>283</v>
      </c>
      <c r="L141">
        <v>131.79443249974477</v>
      </c>
      <c r="M141">
        <v>132.33961023793964</v>
      </c>
      <c r="N141">
        <f t="shared" si="22"/>
        <v>0</v>
      </c>
      <c r="O141">
        <f t="shared" si="23"/>
        <v>1</v>
      </c>
      <c r="P141">
        <f t="shared" si="24"/>
        <v>0</v>
      </c>
      <c r="Q141">
        <f t="shared" si="25"/>
        <v>1</v>
      </c>
      <c r="R141">
        <f t="shared" si="26"/>
        <v>0</v>
      </c>
      <c r="S141">
        <v>1</v>
      </c>
      <c r="T141">
        <f t="shared" si="27"/>
        <v>-0.19544623274706294</v>
      </c>
      <c r="U141">
        <v>-0.93186161509658361</v>
      </c>
      <c r="V141">
        <f t="shared" si="28"/>
        <v>-0.73641538234952064</v>
      </c>
    </row>
    <row r="142" spans="1:22" x14ac:dyDescent="0.2">
      <c r="A142">
        <f t="shared" si="29"/>
        <v>141</v>
      </c>
      <c r="B142" s="2">
        <f t="shared" si="30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6">
        <v>3.8</v>
      </c>
      <c r="H142" s="5">
        <v>12</v>
      </c>
      <c r="I142" s="7" t="s">
        <v>20</v>
      </c>
      <c r="J142" s="8" t="s">
        <v>16</v>
      </c>
      <c r="K142">
        <v>1141</v>
      </c>
      <c r="L142">
        <v>81.597304805416869</v>
      </c>
      <c r="M142">
        <v>82.474966817259812</v>
      </c>
      <c r="N142">
        <f t="shared" si="22"/>
        <v>0</v>
      </c>
      <c r="O142">
        <f t="shared" si="23"/>
        <v>1</v>
      </c>
      <c r="P142">
        <f t="shared" si="24"/>
        <v>0</v>
      </c>
      <c r="Q142">
        <f t="shared" si="25"/>
        <v>1</v>
      </c>
      <c r="R142">
        <f t="shared" si="26"/>
        <v>0</v>
      </c>
      <c r="S142">
        <v>1</v>
      </c>
      <c r="T142">
        <f t="shared" si="27"/>
        <v>-0.12468020857965953</v>
      </c>
      <c r="U142">
        <v>-0.77111630333267289</v>
      </c>
      <c r="V142">
        <f t="shared" si="28"/>
        <v>-0.64643609475301334</v>
      </c>
    </row>
    <row r="143" spans="1:22" x14ac:dyDescent="0.2">
      <c r="A143">
        <f t="shared" si="29"/>
        <v>142</v>
      </c>
      <c r="B143" s="2">
        <f t="shared" si="30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6">
        <v>4.2</v>
      </c>
      <c r="H143" s="5">
        <v>16</v>
      </c>
      <c r="I143" s="7" t="s">
        <v>20</v>
      </c>
      <c r="J143" s="8" t="s">
        <v>13</v>
      </c>
      <c r="K143">
        <v>290</v>
      </c>
      <c r="L143">
        <v>236.87368372963641</v>
      </c>
      <c r="M143">
        <v>237.41344116045286</v>
      </c>
      <c r="N143">
        <f t="shared" si="22"/>
        <v>0</v>
      </c>
      <c r="O143">
        <f t="shared" si="23"/>
        <v>1</v>
      </c>
      <c r="P143">
        <f t="shared" si="24"/>
        <v>0</v>
      </c>
      <c r="Q143">
        <f t="shared" si="25"/>
        <v>1</v>
      </c>
      <c r="R143">
        <f t="shared" si="26"/>
        <v>0</v>
      </c>
      <c r="S143">
        <v>1</v>
      </c>
      <c r="T143">
        <f t="shared" si="27"/>
        <v>-0.17151893014909178</v>
      </c>
      <c r="U143">
        <v>-0.53627006928700616</v>
      </c>
      <c r="V143">
        <f t="shared" si="28"/>
        <v>-0.36475113913791435</v>
      </c>
    </row>
    <row r="144" spans="1:22" x14ac:dyDescent="0.2">
      <c r="A144">
        <f t="shared" si="29"/>
        <v>143</v>
      </c>
      <c r="B144" s="2">
        <f t="shared" si="30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6">
        <v>4.2</v>
      </c>
      <c r="H144" s="5">
        <v>16</v>
      </c>
      <c r="I144" s="7" t="s">
        <v>20</v>
      </c>
      <c r="J144" s="8" t="s">
        <v>18</v>
      </c>
      <c r="K144">
        <v>283</v>
      </c>
      <c r="L144">
        <v>138.25826990140519</v>
      </c>
      <c r="M144">
        <v>139.18099437829076</v>
      </c>
      <c r="N144">
        <f t="shared" si="22"/>
        <v>0</v>
      </c>
      <c r="O144">
        <f t="shared" si="23"/>
        <v>1</v>
      </c>
      <c r="P144">
        <f t="shared" si="24"/>
        <v>0</v>
      </c>
      <c r="Q144">
        <f t="shared" si="25"/>
        <v>1</v>
      </c>
      <c r="R144">
        <f t="shared" si="26"/>
        <v>0</v>
      </c>
      <c r="S144">
        <v>1</v>
      </c>
      <c r="T144">
        <f t="shared" si="27"/>
        <v>0.1631692061175567</v>
      </c>
      <c r="U144">
        <v>-0.34208644612224687</v>
      </c>
      <c r="V144">
        <f t="shared" si="28"/>
        <v>-0.50525565223980351</v>
      </c>
    </row>
    <row r="145" spans="1:22" x14ac:dyDescent="0.2">
      <c r="A145">
        <f t="shared" si="29"/>
        <v>144</v>
      </c>
      <c r="B145" s="2">
        <f t="shared" si="30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6">
        <v>4.8</v>
      </c>
      <c r="H145" s="5">
        <v>10</v>
      </c>
      <c r="I145" s="7" t="s">
        <v>20</v>
      </c>
      <c r="J145" s="8" t="s">
        <v>13</v>
      </c>
      <c r="K145">
        <v>290</v>
      </c>
      <c r="L145">
        <v>160.37359502632646</v>
      </c>
      <c r="M145">
        <v>160.68506458805734</v>
      </c>
      <c r="N145">
        <f t="shared" si="22"/>
        <v>0</v>
      </c>
      <c r="O145">
        <f t="shared" si="23"/>
        <v>1</v>
      </c>
      <c r="P145">
        <f t="shared" si="24"/>
        <v>0</v>
      </c>
      <c r="Q145">
        <f t="shared" si="25"/>
        <v>1</v>
      </c>
      <c r="R145">
        <f t="shared" si="26"/>
        <v>0</v>
      </c>
      <c r="S145">
        <v>0</v>
      </c>
      <c r="T145">
        <f t="shared" si="27"/>
        <v>0.58608952319073138</v>
      </c>
      <c r="U145">
        <v>0.21123281599061977</v>
      </c>
      <c r="V145">
        <f t="shared" si="28"/>
        <v>-0.37485670720011161</v>
      </c>
    </row>
    <row r="146" spans="1:22" x14ac:dyDescent="0.2">
      <c r="A146">
        <f t="shared" si="29"/>
        <v>145</v>
      </c>
      <c r="B146" s="2">
        <f t="shared" si="30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6">
        <v>3.5</v>
      </c>
      <c r="H146" s="5">
        <v>10</v>
      </c>
      <c r="I146" s="7" t="s">
        <v>20</v>
      </c>
      <c r="J146" s="8" t="s">
        <v>13</v>
      </c>
      <c r="K146">
        <v>290</v>
      </c>
      <c r="L146">
        <v>92.159817959932795</v>
      </c>
      <c r="M146">
        <v>92.700766158689063</v>
      </c>
      <c r="N146">
        <f t="shared" si="22"/>
        <v>0</v>
      </c>
      <c r="O146">
        <f t="shared" si="23"/>
        <v>1</v>
      </c>
      <c r="P146">
        <f t="shared" si="24"/>
        <v>0</v>
      </c>
      <c r="Q146">
        <f t="shared" si="25"/>
        <v>1</v>
      </c>
      <c r="R146">
        <f t="shared" si="26"/>
        <v>0</v>
      </c>
      <c r="S146">
        <v>0</v>
      </c>
      <c r="T146">
        <f t="shared" si="27"/>
        <v>-0.29668208927641337</v>
      </c>
      <c r="U146">
        <v>-0.31017306685967722</v>
      </c>
      <c r="V146">
        <f t="shared" si="28"/>
        <v>-1.3490977583263841E-2</v>
      </c>
    </row>
    <row r="147" spans="1:22" x14ac:dyDescent="0.2">
      <c r="A147">
        <f t="shared" si="29"/>
        <v>146</v>
      </c>
      <c r="B147" s="2">
        <f t="shared" si="30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6">
        <v>3.5</v>
      </c>
      <c r="H147" s="5">
        <v>10</v>
      </c>
      <c r="I147" s="7" t="s">
        <v>20</v>
      </c>
      <c r="J147" s="8" t="s">
        <v>16</v>
      </c>
      <c r="K147">
        <v>1141</v>
      </c>
      <c r="L147">
        <v>85.711155793911104</v>
      </c>
      <c r="M147">
        <v>86.292538655019882</v>
      </c>
      <c r="N147">
        <f t="shared" si="22"/>
        <v>0</v>
      </c>
      <c r="O147">
        <f t="shared" si="23"/>
        <v>1</v>
      </c>
      <c r="P147">
        <f t="shared" si="24"/>
        <v>0</v>
      </c>
      <c r="Q147">
        <f t="shared" si="25"/>
        <v>1</v>
      </c>
      <c r="R147">
        <f t="shared" si="26"/>
        <v>0</v>
      </c>
      <c r="S147">
        <v>0</v>
      </c>
      <c r="T147">
        <f t="shared" si="27"/>
        <v>-0.46878084452210644</v>
      </c>
      <c r="U147">
        <v>-0.93791127936236174</v>
      </c>
      <c r="V147">
        <f t="shared" si="28"/>
        <v>-0.46913043484025529</v>
      </c>
    </row>
    <row r="148" spans="1:22" x14ac:dyDescent="0.2">
      <c r="A148">
        <f t="shared" si="29"/>
        <v>147</v>
      </c>
      <c r="B148" s="2">
        <f t="shared" si="30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6">
        <v>4.2</v>
      </c>
      <c r="H148" s="5">
        <v>10</v>
      </c>
      <c r="I148" s="7" t="s">
        <v>20</v>
      </c>
      <c r="J148" s="8" t="s">
        <v>13</v>
      </c>
      <c r="K148">
        <v>290</v>
      </c>
      <c r="L148">
        <v>190.05302625038044</v>
      </c>
      <c r="M148">
        <v>190.31592888386353</v>
      </c>
      <c r="N148">
        <f t="shared" si="22"/>
        <v>0</v>
      </c>
      <c r="O148">
        <f t="shared" si="23"/>
        <v>1</v>
      </c>
      <c r="P148">
        <f t="shared" si="24"/>
        <v>0</v>
      </c>
      <c r="Q148">
        <f t="shared" si="25"/>
        <v>1</v>
      </c>
      <c r="R148">
        <f t="shared" si="26"/>
        <v>0</v>
      </c>
      <c r="S148">
        <v>0</v>
      </c>
      <c r="T148">
        <f t="shared" si="27"/>
        <v>-3.4148898076603595E-2</v>
      </c>
      <c r="U148">
        <v>-0.65642123247115569</v>
      </c>
      <c r="V148">
        <f t="shared" si="28"/>
        <v>-0.6222723343945521</v>
      </c>
    </row>
    <row r="149" spans="1:22" x14ac:dyDescent="0.2">
      <c r="A149">
        <f t="shared" si="29"/>
        <v>148</v>
      </c>
      <c r="B149" s="2">
        <f t="shared" si="30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6">
        <v>4.2</v>
      </c>
      <c r="H149" s="5">
        <v>10</v>
      </c>
      <c r="I149" s="7" t="s">
        <v>20</v>
      </c>
      <c r="J149" s="8" t="s">
        <v>16</v>
      </c>
      <c r="K149">
        <v>1141</v>
      </c>
      <c r="L149">
        <v>61.54635269622478</v>
      </c>
      <c r="M149">
        <v>62.353456441548573</v>
      </c>
      <c r="N149">
        <f t="shared" si="22"/>
        <v>0</v>
      </c>
      <c r="O149">
        <f t="shared" si="23"/>
        <v>1</v>
      </c>
      <c r="P149">
        <f t="shared" si="24"/>
        <v>0</v>
      </c>
      <c r="Q149">
        <f t="shared" si="25"/>
        <v>1</v>
      </c>
      <c r="R149">
        <f t="shared" si="26"/>
        <v>0</v>
      </c>
      <c r="S149">
        <v>0</v>
      </c>
      <c r="T149">
        <f t="shared" si="27"/>
        <v>0.43582740624942395</v>
      </c>
      <c r="U149">
        <v>3.4721948609293264E-2</v>
      </c>
      <c r="V149">
        <f t="shared" si="28"/>
        <v>-0.40110545764013067</v>
      </c>
    </row>
    <row r="150" spans="1:22" x14ac:dyDescent="0.2">
      <c r="A150">
        <f t="shared" si="29"/>
        <v>149</v>
      </c>
      <c r="B150" s="2">
        <f t="shared" si="30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6">
        <v>3.9</v>
      </c>
      <c r="H150" s="5">
        <v>10</v>
      </c>
      <c r="I150" s="7" t="s">
        <v>20</v>
      </c>
      <c r="J150" s="8" t="s">
        <v>13</v>
      </c>
      <c r="K150">
        <v>290</v>
      </c>
      <c r="L150">
        <v>107.68058281077444</v>
      </c>
      <c r="M150">
        <v>108.14392222620766</v>
      </c>
      <c r="N150">
        <f t="shared" si="22"/>
        <v>0</v>
      </c>
      <c r="O150">
        <f t="shared" si="23"/>
        <v>1</v>
      </c>
      <c r="P150">
        <f t="shared" si="24"/>
        <v>0</v>
      </c>
      <c r="Q150">
        <f t="shared" si="25"/>
        <v>1</v>
      </c>
      <c r="R150">
        <f t="shared" si="26"/>
        <v>0</v>
      </c>
      <c r="S150">
        <v>0</v>
      </c>
      <c r="T150">
        <f t="shared" si="27"/>
        <v>2.5897838348767133E-2</v>
      </c>
      <c r="U150">
        <v>-0.4038907751643484</v>
      </c>
      <c r="V150">
        <f t="shared" si="28"/>
        <v>-0.42978861351311554</v>
      </c>
    </row>
    <row r="151" spans="1:22" x14ac:dyDescent="0.2">
      <c r="A151" s="11">
        <f t="shared" si="29"/>
        <v>150</v>
      </c>
      <c r="B151" s="12">
        <f t="shared" si="30"/>
        <v>78</v>
      </c>
      <c r="C151" s="13">
        <v>44176</v>
      </c>
      <c r="D151" s="14">
        <v>0.53548611111182254</v>
      </c>
      <c r="E151" s="15">
        <v>-8.27</v>
      </c>
      <c r="F151" s="15">
        <v>116.53</v>
      </c>
      <c r="G151" s="16">
        <v>3.9</v>
      </c>
      <c r="H151" s="15">
        <v>11</v>
      </c>
      <c r="I151" s="17" t="s">
        <v>20</v>
      </c>
      <c r="J151" s="18" t="s">
        <v>13</v>
      </c>
      <c r="K151">
        <v>290</v>
      </c>
      <c r="L151">
        <v>199.64956279833908</v>
      </c>
      <c r="M151">
        <v>199.95236414098218</v>
      </c>
      <c r="N151">
        <f t="shared" si="22"/>
        <v>0</v>
      </c>
      <c r="O151">
        <f t="shared" si="23"/>
        <v>1</v>
      </c>
      <c r="P151">
        <f t="shared" si="24"/>
        <v>0</v>
      </c>
      <c r="Q151">
        <f t="shared" si="25"/>
        <v>1</v>
      </c>
      <c r="R151">
        <f t="shared" si="26"/>
        <v>0</v>
      </c>
      <c r="S151">
        <v>0</v>
      </c>
      <c r="T151">
        <f t="shared" si="27"/>
        <v>-0.35369953946637089</v>
      </c>
      <c r="U151">
        <v>-0.94360216302134503</v>
      </c>
      <c r="V151">
        <f t="shared" si="28"/>
        <v>-0.58990262355497414</v>
      </c>
    </row>
    <row r="152" spans="1:22" x14ac:dyDescent="0.2">
      <c r="A152">
        <f t="shared" si="29"/>
        <v>151</v>
      </c>
      <c r="B152" s="2">
        <f t="shared" si="30"/>
        <v>79</v>
      </c>
      <c r="C152" s="34">
        <v>44274</v>
      </c>
      <c r="D152" s="35">
        <v>0.68978009259444661</v>
      </c>
      <c r="E152" s="36">
        <v>-7.83</v>
      </c>
      <c r="F152" s="36">
        <v>118.78</v>
      </c>
      <c r="G152" s="6">
        <v>4.5</v>
      </c>
      <c r="H152" s="36">
        <v>26</v>
      </c>
      <c r="I152" s="7" t="s">
        <v>20</v>
      </c>
      <c r="J152" s="8" t="s">
        <v>12</v>
      </c>
      <c r="K152">
        <v>386</v>
      </c>
      <c r="L152">
        <v>79.768739281944931</v>
      </c>
      <c r="M152">
        <v>83.899057006803744</v>
      </c>
      <c r="N152">
        <f t="shared" si="22"/>
        <v>0</v>
      </c>
      <c r="O152">
        <f t="shared" si="23"/>
        <v>1</v>
      </c>
      <c r="P152">
        <f t="shared" si="24"/>
        <v>0</v>
      </c>
      <c r="Q152">
        <f t="shared" si="25"/>
        <v>1</v>
      </c>
      <c r="R152">
        <f t="shared" si="26"/>
        <v>0</v>
      </c>
      <c r="S152">
        <v>0</v>
      </c>
      <c r="T152">
        <f t="shared" si="27"/>
        <v>0.69326499410349673</v>
      </c>
      <c r="U152">
        <v>0.43217818913054773</v>
      </c>
      <c r="V152">
        <f t="shared" si="28"/>
        <v>-0.261086804972949</v>
      </c>
    </row>
    <row r="153" spans="1:22" x14ac:dyDescent="0.2">
      <c r="A153">
        <f t="shared" si="29"/>
        <v>152</v>
      </c>
      <c r="B153" s="2">
        <f t="shared" si="30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6">
        <v>4.5</v>
      </c>
      <c r="H153" s="5">
        <v>26</v>
      </c>
      <c r="I153" s="7" t="s">
        <v>20</v>
      </c>
      <c r="J153" s="8" t="s">
        <v>18</v>
      </c>
      <c r="K153">
        <v>283</v>
      </c>
      <c r="L153">
        <v>168.55202854350387</v>
      </c>
      <c r="M153">
        <v>170.54555498789802</v>
      </c>
      <c r="N153">
        <f t="shared" si="22"/>
        <v>0</v>
      </c>
      <c r="O153">
        <f t="shared" si="23"/>
        <v>1</v>
      </c>
      <c r="P153">
        <f t="shared" si="24"/>
        <v>0</v>
      </c>
      <c r="Q153">
        <f t="shared" si="25"/>
        <v>1</v>
      </c>
      <c r="R153">
        <f t="shared" si="26"/>
        <v>0</v>
      </c>
      <c r="S153">
        <v>1</v>
      </c>
      <c r="T153">
        <f t="shared" si="27"/>
        <v>0.30576173891831104</v>
      </c>
      <c r="U153">
        <v>3.1841854506628936E-2</v>
      </c>
      <c r="V153">
        <f t="shared" si="28"/>
        <v>-0.27391988441168214</v>
      </c>
    </row>
    <row r="154" spans="1:22" x14ac:dyDescent="0.2">
      <c r="A154" s="11">
        <f t="shared" si="29"/>
        <v>153</v>
      </c>
      <c r="B154" s="12">
        <f t="shared" si="30"/>
        <v>79</v>
      </c>
      <c r="C154" s="13">
        <v>44274</v>
      </c>
      <c r="D154" s="14">
        <v>0.68978009259444661</v>
      </c>
      <c r="E154" s="15">
        <v>-7.83</v>
      </c>
      <c r="F154" s="15">
        <v>118.78</v>
      </c>
      <c r="G154" s="16">
        <v>4.5</v>
      </c>
      <c r="H154" s="15">
        <v>26</v>
      </c>
      <c r="I154" s="17" t="s">
        <v>20</v>
      </c>
      <c r="J154" s="18" t="s">
        <v>16</v>
      </c>
      <c r="K154">
        <v>1141</v>
      </c>
      <c r="L154">
        <v>233.7605677111687</v>
      </c>
      <c r="M154">
        <v>235.20204722035879</v>
      </c>
      <c r="N154">
        <f t="shared" si="22"/>
        <v>0</v>
      </c>
      <c r="O154">
        <f t="shared" si="23"/>
        <v>1</v>
      </c>
      <c r="P154">
        <f t="shared" si="24"/>
        <v>0</v>
      </c>
      <c r="Q154">
        <f t="shared" si="25"/>
        <v>1</v>
      </c>
      <c r="R154">
        <f t="shared" si="26"/>
        <v>0</v>
      </c>
      <c r="S154">
        <v>1</v>
      </c>
      <c r="T154">
        <f t="shared" si="27"/>
        <v>-0.11354306792911137</v>
      </c>
      <c r="U154">
        <v>-0.67995139799417936</v>
      </c>
      <c r="V154">
        <f t="shared" si="28"/>
        <v>-0.56640833006506797</v>
      </c>
    </row>
    <row r="155" spans="1:22" x14ac:dyDescent="0.2">
      <c r="A155">
        <f t="shared" si="29"/>
        <v>154</v>
      </c>
      <c r="B155" s="2">
        <f t="shared" si="30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6">
        <v>3.5</v>
      </c>
      <c r="H155" s="5">
        <v>10</v>
      </c>
      <c r="I155" s="7" t="s">
        <v>20</v>
      </c>
      <c r="J155" s="8" t="s">
        <v>13</v>
      </c>
      <c r="K155">
        <v>290</v>
      </c>
      <c r="L155">
        <v>103.32560484404641</v>
      </c>
      <c r="M155">
        <v>103.80838413340238</v>
      </c>
      <c r="N155">
        <f t="shared" si="22"/>
        <v>0</v>
      </c>
      <c r="O155">
        <f t="shared" si="23"/>
        <v>1</v>
      </c>
      <c r="P155">
        <f t="shared" si="24"/>
        <v>0</v>
      </c>
      <c r="Q155">
        <f t="shared" si="25"/>
        <v>1</v>
      </c>
      <c r="R155">
        <f t="shared" si="26"/>
        <v>0</v>
      </c>
      <c r="S155">
        <v>0</v>
      </c>
      <c r="T155">
        <f t="shared" si="27"/>
        <v>-0.36622006303178056</v>
      </c>
      <c r="U155">
        <v>-0.22525115015577846</v>
      </c>
      <c r="V155">
        <f t="shared" si="28"/>
        <v>0.14096891287600211</v>
      </c>
    </row>
    <row r="156" spans="1:22" x14ac:dyDescent="0.2">
      <c r="A156" s="19">
        <f t="shared" si="29"/>
        <v>155</v>
      </c>
      <c r="B156" s="20">
        <f t="shared" si="30"/>
        <v>81</v>
      </c>
      <c r="C156" s="41">
        <v>43331</v>
      </c>
      <c r="D156" s="42">
        <v>0.62263425925925919</v>
      </c>
      <c r="E156" s="43">
        <v>-8.27</v>
      </c>
      <c r="F156" s="44">
        <v>116.67</v>
      </c>
      <c r="G156" s="45">
        <v>6.9</v>
      </c>
      <c r="H156" s="46">
        <v>22</v>
      </c>
      <c r="I156" s="47" t="s">
        <v>20</v>
      </c>
      <c r="J156" s="26" t="s">
        <v>16</v>
      </c>
      <c r="K156">
        <v>1141</v>
      </c>
      <c r="L156">
        <v>57.090874097075393</v>
      </c>
      <c r="M156">
        <v>61.183068778609936</v>
      </c>
      <c r="N156">
        <f t="shared" si="22"/>
        <v>0</v>
      </c>
      <c r="O156">
        <f t="shared" si="23"/>
        <v>1</v>
      </c>
      <c r="P156">
        <f t="shared" si="24"/>
        <v>0</v>
      </c>
      <c r="Q156">
        <f t="shared" si="25"/>
        <v>0</v>
      </c>
      <c r="R156">
        <f t="shared" si="26"/>
        <v>1</v>
      </c>
      <c r="S156">
        <v>0</v>
      </c>
      <c r="T156">
        <f t="shared" si="27"/>
        <v>2.1552830425992489</v>
      </c>
      <c r="U156">
        <v>2.1377794377555888</v>
      </c>
      <c r="V156">
        <f t="shared" si="28"/>
        <v>-1.7503604843660092E-2</v>
      </c>
    </row>
    <row r="157" spans="1:22" x14ac:dyDescent="0.2">
      <c r="A157" s="19">
        <f t="shared" si="29"/>
        <v>156</v>
      </c>
      <c r="B157" s="20">
        <f t="shared" si="30"/>
        <v>81</v>
      </c>
      <c r="C157" s="41">
        <v>43331</v>
      </c>
      <c r="D157" s="42">
        <v>0.62263425925925919</v>
      </c>
      <c r="E157" s="43">
        <v>-8.27</v>
      </c>
      <c r="F157" s="44">
        <v>116.67</v>
      </c>
      <c r="G157" s="45">
        <v>6.9</v>
      </c>
      <c r="H157" s="46">
        <v>22</v>
      </c>
      <c r="I157" s="47" t="s">
        <v>20</v>
      </c>
      <c r="J157" s="26" t="s">
        <v>15</v>
      </c>
      <c r="K157">
        <v>770</v>
      </c>
      <c r="L157">
        <v>70.184466740784501</v>
      </c>
      <c r="M157">
        <v>73.551746217804279</v>
      </c>
      <c r="N157">
        <f t="shared" si="22"/>
        <v>0</v>
      </c>
      <c r="O157">
        <f t="shared" si="23"/>
        <v>1</v>
      </c>
      <c r="P157">
        <f t="shared" si="24"/>
        <v>0</v>
      </c>
      <c r="Q157">
        <f t="shared" si="25"/>
        <v>0</v>
      </c>
      <c r="R157">
        <f t="shared" si="26"/>
        <v>1</v>
      </c>
      <c r="S157">
        <v>1</v>
      </c>
      <c r="T157">
        <f t="shared" si="27"/>
        <v>2.1052842527328801</v>
      </c>
      <c r="U157">
        <v>1.2694222778055697</v>
      </c>
      <c r="V157">
        <f t="shared" si="28"/>
        <v>-0.8358619749273104</v>
      </c>
    </row>
    <row r="158" spans="1:22" x14ac:dyDescent="0.2">
      <c r="A158" s="19"/>
      <c r="B158" s="20"/>
      <c r="C158" s="41"/>
      <c r="D158" s="42"/>
      <c r="E158" s="43"/>
      <c r="F158" s="44"/>
      <c r="G158" s="45"/>
      <c r="H158" s="46"/>
      <c r="I158" s="47"/>
      <c r="J158" s="26"/>
    </row>
  </sheetData>
  <autoFilter ref="K1:K158" xr:uid="{869BF6E7-3645-B848-A5E9-496647D28287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083C-F5F6-A646-BC98-8C6E25B9F6A6}">
  <dimension ref="A1:X158"/>
  <sheetViews>
    <sheetView topLeftCell="L1" workbookViewId="0">
      <selection activeCell="P2" sqref="P2:P157"/>
    </sheetView>
  </sheetViews>
  <sheetFormatPr baseColWidth="10" defaultColWidth="11" defaultRowHeight="16" x14ac:dyDescent="0.2"/>
  <cols>
    <col min="14" max="16" width="7" customWidth="1"/>
    <col min="17" max="19" width="10.33203125" customWidth="1"/>
    <col min="20" max="20" width="10.1640625" customWidth="1"/>
    <col min="24" max="24" width="11.1640625" bestFit="1" customWidth="1"/>
  </cols>
  <sheetData>
    <row r="1" spans="1:24" ht="2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46</v>
      </c>
      <c r="N1" s="51" t="s">
        <v>43</v>
      </c>
      <c r="O1" s="51" t="s">
        <v>44</v>
      </c>
      <c r="P1" s="48" t="s">
        <v>45</v>
      </c>
      <c r="Q1" s="51" t="s">
        <v>38</v>
      </c>
      <c r="R1" s="51" t="s">
        <v>39</v>
      </c>
      <c r="S1" s="51" t="s">
        <v>37</v>
      </c>
      <c r="T1" s="51" t="s">
        <v>32</v>
      </c>
      <c r="U1" s="51" t="s">
        <v>33</v>
      </c>
      <c r="V1" s="51" t="s">
        <v>49</v>
      </c>
      <c r="W1" s="49" t="s">
        <v>23</v>
      </c>
    </row>
    <row r="2" spans="1:24" x14ac:dyDescent="0.2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6">
        <v>5.5</v>
      </c>
      <c r="H2" s="5">
        <v>22</v>
      </c>
      <c r="I2" s="7" t="s">
        <v>11</v>
      </c>
      <c r="J2" s="8" t="s">
        <v>12</v>
      </c>
      <c r="K2">
        <v>386</v>
      </c>
      <c r="L2">
        <v>97.42375977291556</v>
      </c>
      <c r="M2">
        <v>99.87686903528143</v>
      </c>
      <c r="N2">
        <f t="shared" ref="N2:N33" si="0">IF(I2="normal",1,0)</f>
        <v>0</v>
      </c>
      <c r="O2">
        <f t="shared" ref="O2:O33" si="1">IF(I2="reverse",1,0)</f>
        <v>0</v>
      </c>
      <c r="P2">
        <f>IF(I2="strike slip",1,0)</f>
        <v>1</v>
      </c>
      <c r="Q2">
        <f>IF(G2&gt;$X$3,0,1)</f>
        <v>1</v>
      </c>
      <c r="R2">
        <f>IF(G2&gt;$X$3,1,0)</f>
        <v>0</v>
      </c>
      <c r="S2">
        <v>1</v>
      </c>
      <c r="T2">
        <f>$X$6+($X$7+$X$8*(G2-$X$2))*LOG10((SQRT((M2^2)+($X$9^2))/$X$4))-$X$10*(SQRT((M2^2)+($X$9^2))-$X$4)+Q2*$X$11*(G2-$X$3)+Q2*$X$12*((G2-$X$3)^2)+R2*$X$13*(G2-$X$3)+$X$14*LOG10(K2/$X$5)+$X$15*N2+$X$16*O2+$X$17*P2</f>
        <v>0.59054198021697279</v>
      </c>
      <c r="U2">
        <v>0.58761379211751619</v>
      </c>
      <c r="V2">
        <f>U2-T2</f>
        <v>-2.9281880994566079E-3</v>
      </c>
      <c r="W2" t="s">
        <v>25</v>
      </c>
      <c r="X2">
        <v>5.5</v>
      </c>
    </row>
    <row r="3" spans="1:24" x14ac:dyDescent="0.2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6">
        <v>5.5</v>
      </c>
      <c r="H3" s="5">
        <v>22</v>
      </c>
      <c r="I3" s="7" t="s">
        <v>11</v>
      </c>
      <c r="J3" s="8" t="s">
        <v>13</v>
      </c>
      <c r="K3">
        <v>290</v>
      </c>
      <c r="L3">
        <v>57.079414195557547</v>
      </c>
      <c r="M3">
        <v>61.172375504863439</v>
      </c>
      <c r="N3">
        <f t="shared" si="0"/>
        <v>0</v>
      </c>
      <c r="O3">
        <f t="shared" si="1"/>
        <v>0</v>
      </c>
      <c r="P3">
        <f t="shared" ref="P3:P66" si="2">IF(I3="strike slip",1,0)</f>
        <v>1</v>
      </c>
      <c r="Q3">
        <f t="shared" ref="Q3:Q66" si="3">IF(G3&gt;$X$3,0,1)</f>
        <v>1</v>
      </c>
      <c r="R3">
        <f t="shared" ref="R3:R66" si="4">IF(G3&gt;$X$3,1,0)</f>
        <v>0</v>
      </c>
      <c r="S3">
        <v>1</v>
      </c>
      <c r="T3">
        <f t="shared" ref="T3:T66" si="5">$X$6+($X$7+$X$8*(G3-$X$2))*LOG10((SQRT((M3^2)+($X$9^2))/$X$4))-$X$10*(SQRT((M3^2)+($X$9^2))-$X$4)+Q3*$X$11*(G3-$X$3)+Q3*$X$12*((G3-$X$3)^2)+R3*$X$13*(G3-$X$3)+$X$14*LOG10(K3/$X$5)+$X$15*N3+$X$16*O3+$X$17*P3</f>
        <v>0.98283188875238015</v>
      </c>
      <c r="U3">
        <v>0.76750258582090158</v>
      </c>
      <c r="V3">
        <f t="shared" ref="V3:V66" si="6">U3-T3</f>
        <v>-0.21532930293147856</v>
      </c>
      <c r="W3" t="s">
        <v>24</v>
      </c>
      <c r="X3">
        <v>6.75</v>
      </c>
    </row>
    <row r="4" spans="1:24" x14ac:dyDescent="0.2">
      <c r="A4">
        <f t="shared" ref="A4:A67" si="7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6">
        <v>5.5</v>
      </c>
      <c r="H4" s="5">
        <v>22</v>
      </c>
      <c r="I4" s="7" t="s">
        <v>11</v>
      </c>
      <c r="J4" s="8" t="s">
        <v>14</v>
      </c>
      <c r="K4">
        <v>210</v>
      </c>
      <c r="L4">
        <v>199.93485105406191</v>
      </c>
      <c r="M4">
        <v>201.14160351854093</v>
      </c>
      <c r="N4">
        <f t="shared" si="0"/>
        <v>0</v>
      </c>
      <c r="O4">
        <f t="shared" si="1"/>
        <v>0</v>
      </c>
      <c r="P4">
        <f t="shared" si="2"/>
        <v>1</v>
      </c>
      <c r="Q4">
        <f t="shared" si="3"/>
        <v>1</v>
      </c>
      <c r="R4">
        <f t="shared" si="4"/>
        <v>0</v>
      </c>
      <c r="S4">
        <v>1</v>
      </c>
      <c r="T4">
        <f t="shared" si="5"/>
        <v>0.37722911307870466</v>
      </c>
      <c r="U4">
        <v>0.28646672605183804</v>
      </c>
      <c r="V4">
        <f t="shared" si="6"/>
        <v>-9.076238702686662E-2</v>
      </c>
      <c r="W4" t="s">
        <v>26</v>
      </c>
      <c r="X4">
        <v>1</v>
      </c>
    </row>
    <row r="5" spans="1:24" x14ac:dyDescent="0.2">
      <c r="A5">
        <f t="shared" si="7"/>
        <v>4</v>
      </c>
      <c r="B5" s="2">
        <v>1</v>
      </c>
      <c r="C5" s="9">
        <v>42582</v>
      </c>
      <c r="D5" s="10">
        <v>0.98613425925925924</v>
      </c>
      <c r="E5" s="5">
        <v>-8.24</v>
      </c>
      <c r="F5" s="5">
        <v>117.87</v>
      </c>
      <c r="G5" s="6">
        <v>5.5</v>
      </c>
      <c r="H5" s="5">
        <v>22</v>
      </c>
      <c r="I5" s="2" t="s">
        <v>11</v>
      </c>
      <c r="J5" s="8" t="s">
        <v>15</v>
      </c>
      <c r="K5">
        <v>770</v>
      </c>
      <c r="L5">
        <v>186.18385881689272</v>
      </c>
      <c r="M5">
        <v>187.47914359722429</v>
      </c>
      <c r="N5">
        <f t="shared" si="0"/>
        <v>0</v>
      </c>
      <c r="O5">
        <f t="shared" si="1"/>
        <v>0</v>
      </c>
      <c r="P5">
        <f t="shared" si="2"/>
        <v>1</v>
      </c>
      <c r="Q5">
        <f t="shared" si="3"/>
        <v>1</v>
      </c>
      <c r="R5">
        <f t="shared" si="4"/>
        <v>0</v>
      </c>
      <c r="S5">
        <v>0</v>
      </c>
      <c r="T5">
        <f t="shared" si="5"/>
        <v>-2.4302445619682742E-2</v>
      </c>
      <c r="U5">
        <v>2.8071778001724577E-2</v>
      </c>
      <c r="V5">
        <f t="shared" si="6"/>
        <v>5.2374223621407319E-2</v>
      </c>
      <c r="W5" t="s">
        <v>31</v>
      </c>
      <c r="X5">
        <v>800</v>
      </c>
    </row>
    <row r="6" spans="1:24" x14ac:dyDescent="0.2">
      <c r="A6">
        <f t="shared" si="7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6">
        <v>5.5</v>
      </c>
      <c r="H6" s="5">
        <v>22</v>
      </c>
      <c r="I6" s="7" t="s">
        <v>11</v>
      </c>
      <c r="J6" s="8" t="s">
        <v>16</v>
      </c>
      <c r="K6">
        <v>1141</v>
      </c>
      <c r="L6">
        <v>122.92739866371562</v>
      </c>
      <c r="M6">
        <v>124.88052427111312</v>
      </c>
      <c r="N6">
        <f t="shared" si="0"/>
        <v>0</v>
      </c>
      <c r="O6">
        <f t="shared" si="1"/>
        <v>0</v>
      </c>
      <c r="P6">
        <f t="shared" si="2"/>
        <v>1</v>
      </c>
      <c r="Q6">
        <f t="shared" si="3"/>
        <v>1</v>
      </c>
      <c r="R6">
        <f t="shared" si="4"/>
        <v>0</v>
      </c>
      <c r="S6">
        <v>0</v>
      </c>
      <c r="T6">
        <f t="shared" si="5"/>
        <v>8.5874367423237549E-2</v>
      </c>
      <c r="U6">
        <v>0.24692718083351681</v>
      </c>
      <c r="V6">
        <f t="shared" si="6"/>
        <v>0.16105281341027927</v>
      </c>
      <c r="W6" s="50" t="s">
        <v>30</v>
      </c>
      <c r="X6" s="52">
        <v>4.08324</v>
      </c>
    </row>
    <row r="7" spans="1:24" x14ac:dyDescent="0.2">
      <c r="A7">
        <f t="shared" si="7"/>
        <v>6</v>
      </c>
      <c r="B7" s="2">
        <f t="shared" ref="B7:B70" si="8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6">
        <v>4.4000000000000004</v>
      </c>
      <c r="H7" s="5">
        <v>11</v>
      </c>
      <c r="I7" s="7" t="s">
        <v>11</v>
      </c>
      <c r="J7" s="8" t="s">
        <v>17</v>
      </c>
      <c r="K7">
        <v>612</v>
      </c>
      <c r="L7">
        <v>51.849622503718564</v>
      </c>
      <c r="M7">
        <v>53.00361642169446</v>
      </c>
      <c r="N7">
        <f t="shared" si="0"/>
        <v>0</v>
      </c>
      <c r="O7">
        <f t="shared" si="1"/>
        <v>0</v>
      </c>
      <c r="P7">
        <f t="shared" si="2"/>
        <v>1</v>
      </c>
      <c r="Q7">
        <f t="shared" si="3"/>
        <v>1</v>
      </c>
      <c r="R7">
        <f t="shared" si="4"/>
        <v>0</v>
      </c>
      <c r="S7">
        <v>0</v>
      </c>
      <c r="T7">
        <f t="shared" si="5"/>
        <v>-0.30609683299390528</v>
      </c>
      <c r="U7">
        <v>-0.49274681449754221</v>
      </c>
      <c r="V7">
        <f t="shared" si="6"/>
        <v>-0.18664998150363693</v>
      </c>
      <c r="W7" s="50" t="s">
        <v>27</v>
      </c>
      <c r="X7">
        <v>-1.38649</v>
      </c>
    </row>
    <row r="8" spans="1:24" x14ac:dyDescent="0.2">
      <c r="A8">
        <f t="shared" si="7"/>
        <v>7</v>
      </c>
      <c r="B8" s="2">
        <f t="shared" si="8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6">
        <v>4.4000000000000004</v>
      </c>
      <c r="H8" s="5">
        <v>11</v>
      </c>
      <c r="I8" s="7" t="s">
        <v>11</v>
      </c>
      <c r="J8" s="8" t="s">
        <v>14</v>
      </c>
      <c r="K8">
        <v>210</v>
      </c>
      <c r="L8">
        <v>61.668145708230284</v>
      </c>
      <c r="M8">
        <v>62.641521334427388</v>
      </c>
      <c r="N8">
        <f t="shared" si="0"/>
        <v>0</v>
      </c>
      <c r="O8">
        <f t="shared" si="1"/>
        <v>0</v>
      </c>
      <c r="P8">
        <f t="shared" si="2"/>
        <v>1</v>
      </c>
      <c r="Q8">
        <f t="shared" si="3"/>
        <v>1</v>
      </c>
      <c r="R8">
        <f t="shared" si="4"/>
        <v>0</v>
      </c>
      <c r="S8">
        <v>0</v>
      </c>
      <c r="T8">
        <f t="shared" si="5"/>
        <v>-4.0558243316886969E-2</v>
      </c>
      <c r="U8">
        <v>-0.61179369996325339</v>
      </c>
      <c r="V8">
        <f t="shared" si="6"/>
        <v>-0.57123545664636644</v>
      </c>
      <c r="W8" s="50" t="s">
        <v>28</v>
      </c>
      <c r="X8">
        <v>-4.5300000000000002E-3</v>
      </c>
    </row>
    <row r="9" spans="1:24" x14ac:dyDescent="0.2">
      <c r="A9">
        <f t="shared" si="7"/>
        <v>8</v>
      </c>
      <c r="B9" s="2">
        <f t="shared" si="8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6">
        <v>4.4000000000000004</v>
      </c>
      <c r="H9" s="5">
        <v>11</v>
      </c>
      <c r="I9" s="7" t="s">
        <v>11</v>
      </c>
      <c r="J9" s="8" t="s">
        <v>16</v>
      </c>
      <c r="K9">
        <v>1141</v>
      </c>
      <c r="L9">
        <v>145.7603890243447</v>
      </c>
      <c r="M9">
        <v>146.17486448951581</v>
      </c>
      <c r="N9">
        <f t="shared" si="0"/>
        <v>0</v>
      </c>
      <c r="O9">
        <f t="shared" si="1"/>
        <v>0</v>
      </c>
      <c r="P9">
        <f t="shared" si="2"/>
        <v>1</v>
      </c>
      <c r="Q9">
        <f t="shared" si="3"/>
        <v>1</v>
      </c>
      <c r="R9">
        <f t="shared" si="4"/>
        <v>0</v>
      </c>
      <c r="S9">
        <v>1</v>
      </c>
      <c r="T9">
        <f t="shared" si="5"/>
        <v>-1.126450798452111</v>
      </c>
      <c r="U9">
        <v>-1.4021192472138102</v>
      </c>
      <c r="V9">
        <f t="shared" si="6"/>
        <v>-0.27566844876169916</v>
      </c>
      <c r="W9" s="50" t="s">
        <v>7</v>
      </c>
      <c r="X9">
        <v>3.4537</v>
      </c>
    </row>
    <row r="10" spans="1:24" x14ac:dyDescent="0.2">
      <c r="A10">
        <f t="shared" si="7"/>
        <v>9</v>
      </c>
      <c r="B10" s="2">
        <f t="shared" si="8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6">
        <v>3.9</v>
      </c>
      <c r="H10" s="5">
        <v>10</v>
      </c>
      <c r="I10" s="7" t="s">
        <v>11</v>
      </c>
      <c r="J10" s="8" t="s">
        <v>17</v>
      </c>
      <c r="K10">
        <v>612</v>
      </c>
      <c r="L10">
        <v>92.404790052454644</v>
      </c>
      <c r="M10">
        <v>92.944312492148882</v>
      </c>
      <c r="N10">
        <f t="shared" si="0"/>
        <v>0</v>
      </c>
      <c r="O10">
        <f t="shared" si="1"/>
        <v>0</v>
      </c>
      <c r="P10">
        <f t="shared" si="2"/>
        <v>1</v>
      </c>
      <c r="Q10">
        <f t="shared" si="3"/>
        <v>1</v>
      </c>
      <c r="R10">
        <f t="shared" si="4"/>
        <v>0</v>
      </c>
      <c r="S10">
        <v>0</v>
      </c>
      <c r="T10">
        <f t="shared" si="5"/>
        <v>-1.2524420453545835</v>
      </c>
      <c r="U10">
        <v>-1.7427398659016038</v>
      </c>
      <c r="V10">
        <f t="shared" si="6"/>
        <v>-0.49029782054702031</v>
      </c>
      <c r="W10" s="50" t="s">
        <v>29</v>
      </c>
      <c r="X10">
        <v>0</v>
      </c>
    </row>
    <row r="11" spans="1:24" x14ac:dyDescent="0.2">
      <c r="A11">
        <f t="shared" si="7"/>
        <v>10</v>
      </c>
      <c r="B11" s="2">
        <f t="shared" si="8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6">
        <v>3.9</v>
      </c>
      <c r="H11" s="5">
        <v>10</v>
      </c>
      <c r="I11" s="7" t="s">
        <v>11</v>
      </c>
      <c r="J11" s="8" t="s">
        <v>14</v>
      </c>
      <c r="K11">
        <v>210</v>
      </c>
      <c r="L11">
        <v>99.718584231845142</v>
      </c>
      <c r="M11">
        <v>100.21874096796265</v>
      </c>
      <c r="N11">
        <f t="shared" si="0"/>
        <v>0</v>
      </c>
      <c r="O11">
        <f t="shared" si="1"/>
        <v>0</v>
      </c>
      <c r="P11">
        <f t="shared" si="2"/>
        <v>1</v>
      </c>
      <c r="Q11">
        <f t="shared" si="3"/>
        <v>1</v>
      </c>
      <c r="R11">
        <f t="shared" si="4"/>
        <v>0</v>
      </c>
      <c r="S11">
        <v>0</v>
      </c>
      <c r="T11">
        <f t="shared" si="5"/>
        <v>-0.93210567134727851</v>
      </c>
      <c r="U11">
        <v>-1.6382979796756092</v>
      </c>
      <c r="V11">
        <f t="shared" si="6"/>
        <v>-0.70619230832833069</v>
      </c>
      <c r="W11" s="50" t="s">
        <v>34</v>
      </c>
      <c r="X11">
        <v>0.56772699999999998</v>
      </c>
    </row>
    <row r="12" spans="1:24" x14ac:dyDescent="0.2">
      <c r="A12">
        <f t="shared" si="7"/>
        <v>11</v>
      </c>
      <c r="B12" s="2">
        <f t="shared" si="8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6">
        <v>3.9</v>
      </c>
      <c r="H12" s="5">
        <v>10</v>
      </c>
      <c r="I12" s="7" t="s">
        <v>11</v>
      </c>
      <c r="J12" s="8" t="s">
        <v>16</v>
      </c>
      <c r="K12">
        <v>1141</v>
      </c>
      <c r="L12">
        <v>186.63118908550243</v>
      </c>
      <c r="M12">
        <v>186.89890513180796</v>
      </c>
      <c r="N12">
        <f t="shared" si="0"/>
        <v>0</v>
      </c>
      <c r="O12">
        <f t="shared" si="1"/>
        <v>0</v>
      </c>
      <c r="P12">
        <f t="shared" si="2"/>
        <v>1</v>
      </c>
      <c r="Q12">
        <f t="shared" si="3"/>
        <v>1</v>
      </c>
      <c r="R12">
        <f t="shared" si="4"/>
        <v>0</v>
      </c>
      <c r="S12">
        <v>1</v>
      </c>
      <c r="T12">
        <f t="shared" si="5"/>
        <v>-1.8833817885536248</v>
      </c>
      <c r="U12">
        <v>-2.5313580697030686</v>
      </c>
      <c r="V12">
        <f t="shared" si="6"/>
        <v>-0.64797628114944383</v>
      </c>
      <c r="W12" s="50" t="s">
        <v>35</v>
      </c>
      <c r="X12">
        <v>-0.12723999999999999</v>
      </c>
    </row>
    <row r="13" spans="1:24" x14ac:dyDescent="0.2">
      <c r="A13">
        <f t="shared" si="7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6">
        <v>4</v>
      </c>
      <c r="H13" s="5">
        <v>24</v>
      </c>
      <c r="I13" s="7" t="s">
        <v>11</v>
      </c>
      <c r="J13" s="8" t="s">
        <v>18</v>
      </c>
      <c r="K13">
        <v>283</v>
      </c>
      <c r="L13">
        <v>71.326978734067708</v>
      </c>
      <c r="M13">
        <v>75.256480753023169</v>
      </c>
      <c r="N13">
        <f t="shared" si="0"/>
        <v>0</v>
      </c>
      <c r="O13">
        <f t="shared" si="1"/>
        <v>0</v>
      </c>
      <c r="P13">
        <f t="shared" si="2"/>
        <v>1</v>
      </c>
      <c r="Q13">
        <f t="shared" si="3"/>
        <v>1</v>
      </c>
      <c r="R13">
        <f t="shared" si="4"/>
        <v>0</v>
      </c>
      <c r="S13">
        <v>0</v>
      </c>
      <c r="T13">
        <f t="shared" si="5"/>
        <v>-0.73554049939130206</v>
      </c>
      <c r="U13">
        <v>-0.70018905937978826</v>
      </c>
      <c r="V13">
        <f t="shared" si="6"/>
        <v>3.5351440011513802E-2</v>
      </c>
      <c r="W13" s="50" t="s">
        <v>36</v>
      </c>
      <c r="X13">
        <v>0.45811000000000002</v>
      </c>
    </row>
    <row r="14" spans="1:24" x14ac:dyDescent="0.2">
      <c r="A14" s="11">
        <f t="shared" si="7"/>
        <v>13</v>
      </c>
      <c r="B14" s="12">
        <f t="shared" si="8"/>
        <v>5</v>
      </c>
      <c r="C14" s="13">
        <v>42912</v>
      </c>
      <c r="D14" s="14" t="s">
        <v>19</v>
      </c>
      <c r="E14" s="15">
        <v>-8.44</v>
      </c>
      <c r="F14" s="15">
        <v>117.26</v>
      </c>
      <c r="G14" s="16">
        <v>3.8</v>
      </c>
      <c r="H14" s="15">
        <v>10</v>
      </c>
      <c r="I14" s="17" t="s">
        <v>11</v>
      </c>
      <c r="J14" s="18" t="s">
        <v>18</v>
      </c>
      <c r="K14">
        <v>283</v>
      </c>
      <c r="L14">
        <v>17.815188989454146</v>
      </c>
      <c r="M14">
        <v>20.429903541866473</v>
      </c>
      <c r="N14">
        <f t="shared" si="0"/>
        <v>0</v>
      </c>
      <c r="O14">
        <f t="shared" si="1"/>
        <v>0</v>
      </c>
      <c r="P14">
        <f t="shared" si="2"/>
        <v>1</v>
      </c>
      <c r="Q14">
        <f t="shared" si="3"/>
        <v>1</v>
      </c>
      <c r="R14">
        <f t="shared" si="4"/>
        <v>0</v>
      </c>
      <c r="S14">
        <v>0</v>
      </c>
      <c r="T14">
        <f t="shared" si="5"/>
        <v>-0.21946808939095186</v>
      </c>
      <c r="U14">
        <v>-0.68833800957439084</v>
      </c>
      <c r="V14">
        <f t="shared" si="6"/>
        <v>-0.46886992018343898</v>
      </c>
      <c r="W14" s="50" t="s">
        <v>48</v>
      </c>
      <c r="X14">
        <v>-0.786632</v>
      </c>
    </row>
    <row r="15" spans="1:24" ht="18" x14ac:dyDescent="0.25">
      <c r="A15">
        <f t="shared" si="7"/>
        <v>14</v>
      </c>
      <c r="B15" s="2">
        <f t="shared" si="8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6">
        <v>5.0999999999999996</v>
      </c>
      <c r="H15" s="5">
        <v>30</v>
      </c>
      <c r="I15" s="7" t="s">
        <v>20</v>
      </c>
      <c r="J15" s="8" t="s">
        <v>12</v>
      </c>
      <c r="K15">
        <v>386</v>
      </c>
      <c r="L15">
        <v>73.482911519556041</v>
      </c>
      <c r="M15">
        <v>79.370890667743566</v>
      </c>
      <c r="N15">
        <f t="shared" si="0"/>
        <v>0</v>
      </c>
      <c r="O15">
        <f t="shared" si="1"/>
        <v>1</v>
      </c>
      <c r="P15">
        <f t="shared" si="2"/>
        <v>0</v>
      </c>
      <c r="Q15">
        <f t="shared" si="3"/>
        <v>1</v>
      </c>
      <c r="R15">
        <f t="shared" si="4"/>
        <v>0</v>
      </c>
      <c r="S15">
        <v>0</v>
      </c>
      <c r="T15">
        <f t="shared" si="5"/>
        <v>0.46228676936832386</v>
      </c>
      <c r="U15">
        <v>-1.0867127083417126E-2</v>
      </c>
      <c r="V15">
        <f t="shared" si="6"/>
        <v>-0.473153896451741</v>
      </c>
      <c r="W15" s="50" t="s">
        <v>40</v>
      </c>
      <c r="X15">
        <v>1.6379999999999999E-2</v>
      </c>
    </row>
    <row r="16" spans="1:24" ht="18" x14ac:dyDescent="0.25">
      <c r="A16">
        <f t="shared" si="7"/>
        <v>15</v>
      </c>
      <c r="B16" s="2">
        <f t="shared" si="8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6">
        <v>5.0999999999999996</v>
      </c>
      <c r="H16" s="5">
        <v>30</v>
      </c>
      <c r="I16" s="7" t="s">
        <v>20</v>
      </c>
      <c r="J16" s="8" t="s">
        <v>13</v>
      </c>
      <c r="K16">
        <v>290</v>
      </c>
      <c r="L16">
        <v>86.954160124792679</v>
      </c>
      <c r="M16">
        <v>91.983835335389699</v>
      </c>
      <c r="N16">
        <f t="shared" si="0"/>
        <v>0</v>
      </c>
      <c r="O16">
        <f t="shared" si="1"/>
        <v>1</v>
      </c>
      <c r="P16">
        <f t="shared" si="2"/>
        <v>0</v>
      </c>
      <c r="Q16">
        <f t="shared" si="3"/>
        <v>1</v>
      </c>
      <c r="R16">
        <f t="shared" si="4"/>
        <v>0</v>
      </c>
      <c r="S16">
        <v>0</v>
      </c>
      <c r="T16">
        <f t="shared" si="5"/>
        <v>0.47143425147367246</v>
      </c>
      <c r="U16">
        <v>0.1303591985941715</v>
      </c>
      <c r="V16">
        <f t="shared" si="6"/>
        <v>-0.34107505287950096</v>
      </c>
      <c r="W16" s="50" t="s">
        <v>41</v>
      </c>
      <c r="X16">
        <v>4.4223999999999999E-2</v>
      </c>
    </row>
    <row r="17" spans="1:24" ht="18" x14ac:dyDescent="0.25">
      <c r="A17">
        <f t="shared" si="7"/>
        <v>16</v>
      </c>
      <c r="B17" s="2">
        <f t="shared" si="8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6">
        <v>5.0999999999999996</v>
      </c>
      <c r="H17" s="5">
        <v>30</v>
      </c>
      <c r="I17" s="7" t="s">
        <v>20</v>
      </c>
      <c r="J17" s="8" t="s">
        <v>18</v>
      </c>
      <c r="K17">
        <v>283</v>
      </c>
      <c r="L17">
        <v>167.80782469041785</v>
      </c>
      <c r="M17">
        <v>170.4683725132906</v>
      </c>
      <c r="N17">
        <f t="shared" si="0"/>
        <v>0</v>
      </c>
      <c r="O17">
        <f t="shared" si="1"/>
        <v>1</v>
      </c>
      <c r="P17">
        <f t="shared" si="2"/>
        <v>0</v>
      </c>
      <c r="Q17">
        <f t="shared" si="3"/>
        <v>1</v>
      </c>
      <c r="R17">
        <f t="shared" si="4"/>
        <v>0</v>
      </c>
      <c r="S17">
        <v>1</v>
      </c>
      <c r="T17">
        <f t="shared" si="5"/>
        <v>0.10908187653285208</v>
      </c>
      <c r="U17">
        <v>-0.42001717192648008</v>
      </c>
      <c r="V17">
        <f t="shared" si="6"/>
        <v>-0.5290990484593322</v>
      </c>
      <c r="W17" s="50" t="s">
        <v>42</v>
      </c>
      <c r="X17">
        <v>-6.0600000000000001E-2</v>
      </c>
    </row>
    <row r="18" spans="1:24" x14ac:dyDescent="0.2">
      <c r="A18">
        <f t="shared" si="7"/>
        <v>17</v>
      </c>
      <c r="B18" s="2">
        <f t="shared" si="8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6">
        <v>5.0999999999999996</v>
      </c>
      <c r="H18" s="5">
        <v>30</v>
      </c>
      <c r="I18" s="7" t="s">
        <v>20</v>
      </c>
      <c r="J18" s="8" t="s">
        <v>16</v>
      </c>
      <c r="K18">
        <v>1141</v>
      </c>
      <c r="L18">
        <v>232.99229188908313</v>
      </c>
      <c r="M18">
        <v>234.91574676834185</v>
      </c>
      <c r="N18">
        <f t="shared" si="0"/>
        <v>0</v>
      </c>
      <c r="O18">
        <f t="shared" si="1"/>
        <v>1</v>
      </c>
      <c r="P18">
        <f t="shared" si="2"/>
        <v>0</v>
      </c>
      <c r="Q18">
        <f t="shared" si="3"/>
        <v>1</v>
      </c>
      <c r="R18">
        <f t="shared" si="4"/>
        <v>0</v>
      </c>
      <c r="S18">
        <v>1</v>
      </c>
      <c r="T18">
        <f t="shared" si="5"/>
        <v>-0.56000653682027624</v>
      </c>
      <c r="U18">
        <v>-1.2516042493818196</v>
      </c>
      <c r="V18">
        <f t="shared" si="6"/>
        <v>-0.69159771256154334</v>
      </c>
    </row>
    <row r="19" spans="1:24" x14ac:dyDescent="0.2">
      <c r="A19">
        <f t="shared" si="7"/>
        <v>18</v>
      </c>
      <c r="B19" s="2">
        <f t="shared" si="8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6">
        <v>4.9000000000000004</v>
      </c>
      <c r="H19" s="5">
        <v>17</v>
      </c>
      <c r="I19" s="7" t="s">
        <v>20</v>
      </c>
      <c r="J19" s="8" t="s">
        <v>13</v>
      </c>
      <c r="K19">
        <v>290</v>
      </c>
      <c r="L19">
        <v>87.504747432513781</v>
      </c>
      <c r="M19">
        <v>89.140792139334437</v>
      </c>
      <c r="N19">
        <f t="shared" si="0"/>
        <v>0</v>
      </c>
      <c r="O19">
        <f t="shared" si="1"/>
        <v>1</v>
      </c>
      <c r="P19">
        <f t="shared" si="2"/>
        <v>0</v>
      </c>
      <c r="Q19">
        <f t="shared" si="3"/>
        <v>1</v>
      </c>
      <c r="R19">
        <f t="shared" si="4"/>
        <v>0</v>
      </c>
      <c r="S19">
        <v>0</v>
      </c>
      <c r="T19">
        <f t="shared" si="5"/>
        <v>0.2894406047225066</v>
      </c>
      <c r="U19">
        <v>0.66611650112185838</v>
      </c>
      <c r="V19">
        <f t="shared" si="6"/>
        <v>0.37667589639935178</v>
      </c>
    </row>
    <row r="20" spans="1:24" x14ac:dyDescent="0.2">
      <c r="A20" s="11">
        <f t="shared" si="7"/>
        <v>19</v>
      </c>
      <c r="B20" s="12">
        <f t="shared" si="8"/>
        <v>7</v>
      </c>
      <c r="C20" s="13">
        <v>43130</v>
      </c>
      <c r="D20" s="14">
        <v>8.3715277777777777E-2</v>
      </c>
      <c r="E20" s="15">
        <v>-7.9</v>
      </c>
      <c r="F20" s="15">
        <v>118.82</v>
      </c>
      <c r="G20" s="16">
        <v>4.9000000000000004</v>
      </c>
      <c r="H20" s="15">
        <v>17</v>
      </c>
      <c r="I20" s="17" t="s">
        <v>20</v>
      </c>
      <c r="J20" s="18" t="s">
        <v>16</v>
      </c>
      <c r="K20">
        <v>1141</v>
      </c>
      <c r="L20">
        <v>234.58300285380335</v>
      </c>
      <c r="M20">
        <v>235.198182875437</v>
      </c>
      <c r="N20">
        <f t="shared" si="0"/>
        <v>0</v>
      </c>
      <c r="O20">
        <f t="shared" si="1"/>
        <v>1</v>
      </c>
      <c r="P20">
        <f t="shared" si="2"/>
        <v>0</v>
      </c>
      <c r="Q20">
        <f t="shared" si="3"/>
        <v>1</v>
      </c>
      <c r="R20">
        <f t="shared" si="4"/>
        <v>0</v>
      </c>
      <c r="S20">
        <v>1</v>
      </c>
      <c r="T20">
        <f t="shared" si="5"/>
        <v>-0.76119378981112495</v>
      </c>
      <c r="U20">
        <v>-0.92935840543229453</v>
      </c>
      <c r="V20">
        <f t="shared" si="6"/>
        <v>-0.16816461562116958</v>
      </c>
    </row>
    <row r="21" spans="1:24" x14ac:dyDescent="0.2">
      <c r="A21" s="11">
        <f t="shared" si="7"/>
        <v>20</v>
      </c>
      <c r="B21" s="12">
        <f t="shared" si="8"/>
        <v>8</v>
      </c>
      <c r="C21" s="13">
        <v>43133</v>
      </c>
      <c r="D21" s="14">
        <v>0.24946759259182727</v>
      </c>
      <c r="E21" s="15">
        <v>-7.98</v>
      </c>
      <c r="F21" s="15">
        <v>115.88</v>
      </c>
      <c r="G21" s="16">
        <v>4.7</v>
      </c>
      <c r="H21" s="15">
        <v>27</v>
      </c>
      <c r="I21" s="17" t="s">
        <v>11</v>
      </c>
      <c r="J21" s="18" t="s">
        <v>16</v>
      </c>
      <c r="K21">
        <v>1141</v>
      </c>
      <c r="L21">
        <v>139.59393854085613</v>
      </c>
      <c r="M21">
        <v>142.18110872175782</v>
      </c>
      <c r="N21">
        <f t="shared" si="0"/>
        <v>0</v>
      </c>
      <c r="O21">
        <f t="shared" si="1"/>
        <v>0</v>
      </c>
      <c r="P21">
        <f t="shared" si="2"/>
        <v>1</v>
      </c>
      <c r="Q21">
        <f t="shared" si="3"/>
        <v>1</v>
      </c>
      <c r="R21">
        <f t="shared" si="4"/>
        <v>0</v>
      </c>
      <c r="S21">
        <v>1</v>
      </c>
      <c r="T21">
        <f t="shared" si="5"/>
        <v>-0.77449068030405688</v>
      </c>
      <c r="U21">
        <v>-1.8201908458944753</v>
      </c>
      <c r="V21">
        <f t="shared" si="6"/>
        <v>-1.0457001655904183</v>
      </c>
    </row>
    <row r="22" spans="1:24" x14ac:dyDescent="0.2">
      <c r="A22">
        <f t="shared" si="7"/>
        <v>21</v>
      </c>
      <c r="B22" s="2">
        <f t="shared" si="8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6">
        <v>3.6</v>
      </c>
      <c r="H22" s="5">
        <v>10</v>
      </c>
      <c r="I22" s="7" t="s">
        <v>20</v>
      </c>
      <c r="J22" s="8" t="s">
        <v>16</v>
      </c>
      <c r="K22">
        <v>1141</v>
      </c>
      <c r="L22">
        <v>94.330220972540559</v>
      </c>
      <c r="M22">
        <v>94.858792890950966</v>
      </c>
      <c r="N22">
        <f t="shared" si="0"/>
        <v>0</v>
      </c>
      <c r="O22">
        <f t="shared" si="1"/>
        <v>1</v>
      </c>
      <c r="P22">
        <f t="shared" si="2"/>
        <v>0</v>
      </c>
      <c r="Q22">
        <f t="shared" si="3"/>
        <v>1</v>
      </c>
      <c r="R22">
        <f t="shared" si="4"/>
        <v>0</v>
      </c>
      <c r="S22">
        <v>1</v>
      </c>
      <c r="T22">
        <f t="shared" si="5"/>
        <v>-1.7692881574885124</v>
      </c>
      <c r="U22">
        <v>-1.631687794976278</v>
      </c>
      <c r="V22">
        <f t="shared" si="6"/>
        <v>0.1376003625122344</v>
      </c>
    </row>
    <row r="23" spans="1:24" x14ac:dyDescent="0.2">
      <c r="A23" s="19">
        <f t="shared" si="7"/>
        <v>22</v>
      </c>
      <c r="B23" s="20">
        <f t="shared" si="8"/>
        <v>10</v>
      </c>
      <c r="C23" s="21">
        <v>43309</v>
      </c>
      <c r="D23" s="22">
        <v>0.94975694445020054</v>
      </c>
      <c r="E23" s="23">
        <v>-8.2799999999999994</v>
      </c>
      <c r="F23" s="23">
        <v>116.51</v>
      </c>
      <c r="G23" s="24">
        <v>6.5</v>
      </c>
      <c r="H23" s="23">
        <v>13</v>
      </c>
      <c r="I23" s="25" t="s">
        <v>20</v>
      </c>
      <c r="J23" s="26" t="s">
        <v>18</v>
      </c>
      <c r="K23">
        <v>283</v>
      </c>
      <c r="L23">
        <v>102.95038203100468</v>
      </c>
      <c r="M23">
        <v>103.76791970705499</v>
      </c>
      <c r="N23">
        <f t="shared" si="0"/>
        <v>0</v>
      </c>
      <c r="O23">
        <f t="shared" si="1"/>
        <v>1</v>
      </c>
      <c r="P23">
        <f t="shared" si="2"/>
        <v>0</v>
      </c>
      <c r="Q23">
        <f t="shared" si="3"/>
        <v>1</v>
      </c>
      <c r="R23">
        <f t="shared" si="4"/>
        <v>0</v>
      </c>
      <c r="S23">
        <v>0</v>
      </c>
      <c r="T23">
        <f t="shared" si="5"/>
        <v>1.5278710391670598</v>
      </c>
      <c r="U23">
        <v>1.4193687272770377</v>
      </c>
      <c r="V23">
        <f t="shared" si="6"/>
        <v>-0.10850231189002213</v>
      </c>
    </row>
    <row r="24" spans="1:24" x14ac:dyDescent="0.2">
      <c r="A24">
        <f t="shared" si="7"/>
        <v>23</v>
      </c>
      <c r="B24" s="2">
        <f t="shared" si="8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6">
        <v>4.9000000000000004</v>
      </c>
      <c r="H24" s="5">
        <v>10</v>
      </c>
      <c r="I24" s="7" t="s">
        <v>20</v>
      </c>
      <c r="J24" s="8" t="s">
        <v>18</v>
      </c>
      <c r="K24">
        <v>283</v>
      </c>
      <c r="L24">
        <v>103.61008734061461</v>
      </c>
      <c r="M24">
        <v>104.09154720115264</v>
      </c>
      <c r="N24">
        <f t="shared" si="0"/>
        <v>0</v>
      </c>
      <c r="O24">
        <f t="shared" si="1"/>
        <v>1</v>
      </c>
      <c r="P24">
        <f t="shared" si="2"/>
        <v>0</v>
      </c>
      <c r="Q24">
        <f t="shared" si="3"/>
        <v>1</v>
      </c>
      <c r="R24">
        <f t="shared" si="4"/>
        <v>0</v>
      </c>
      <c r="S24">
        <v>1</v>
      </c>
      <c r="T24">
        <f t="shared" si="5"/>
        <v>0.20472632233501392</v>
      </c>
      <c r="U24">
        <v>0.16114301550150306</v>
      </c>
      <c r="V24">
        <f t="shared" si="6"/>
        <v>-4.358330683351086E-2</v>
      </c>
    </row>
    <row r="25" spans="1:24" x14ac:dyDescent="0.2">
      <c r="A25">
        <f t="shared" si="7"/>
        <v>24</v>
      </c>
      <c r="B25" s="2">
        <f t="shared" si="8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6">
        <v>5.4</v>
      </c>
      <c r="H25" s="5">
        <v>10</v>
      </c>
      <c r="I25" s="7" t="s">
        <v>20</v>
      </c>
      <c r="J25" s="8" t="s">
        <v>13</v>
      </c>
      <c r="K25">
        <v>290</v>
      </c>
      <c r="L25">
        <v>208.12715043998526</v>
      </c>
      <c r="M25">
        <v>208.36724970654157</v>
      </c>
      <c r="N25">
        <f t="shared" si="0"/>
        <v>0</v>
      </c>
      <c r="O25">
        <f t="shared" si="1"/>
        <v>1</v>
      </c>
      <c r="P25">
        <f t="shared" si="2"/>
        <v>0</v>
      </c>
      <c r="Q25">
        <f t="shared" si="3"/>
        <v>1</v>
      </c>
      <c r="R25">
        <f t="shared" si="4"/>
        <v>0</v>
      </c>
      <c r="S25">
        <v>1</v>
      </c>
      <c r="T25">
        <f t="shared" si="5"/>
        <v>0.26173396728235543</v>
      </c>
      <c r="U25">
        <v>2.6260742200433888E-2</v>
      </c>
      <c r="V25">
        <f t="shared" si="6"/>
        <v>-0.23547322508192153</v>
      </c>
    </row>
    <row r="26" spans="1:24" x14ac:dyDescent="0.2">
      <c r="A26">
        <f t="shared" si="7"/>
        <v>25</v>
      </c>
      <c r="B26" s="2">
        <f t="shared" si="8"/>
        <v>12</v>
      </c>
      <c r="C26" s="27">
        <v>43310</v>
      </c>
      <c r="D26" s="28">
        <v>7.6759259259259263E-2</v>
      </c>
      <c r="E26" s="29">
        <v>-8.2200000000000006</v>
      </c>
      <c r="F26" s="29">
        <v>116.46</v>
      </c>
      <c r="G26" s="6">
        <v>5.4</v>
      </c>
      <c r="H26" s="29">
        <v>10</v>
      </c>
      <c r="I26" s="2" t="s">
        <v>20</v>
      </c>
      <c r="J26" s="8" t="s">
        <v>15</v>
      </c>
      <c r="K26">
        <v>770</v>
      </c>
      <c r="L26">
        <v>63.920882697035651</v>
      </c>
      <c r="M26">
        <v>64.698371268279942</v>
      </c>
      <c r="N26">
        <f t="shared" si="0"/>
        <v>0</v>
      </c>
      <c r="O26">
        <f t="shared" si="1"/>
        <v>1</v>
      </c>
      <c r="P26">
        <f t="shared" si="2"/>
        <v>0</v>
      </c>
      <c r="Q26">
        <f t="shared" si="3"/>
        <v>1</v>
      </c>
      <c r="R26">
        <f t="shared" si="4"/>
        <v>0</v>
      </c>
      <c r="S26">
        <v>1</v>
      </c>
      <c r="T26">
        <f t="shared" si="5"/>
        <v>0.63137354400807566</v>
      </c>
      <c r="U26">
        <v>-8.6516772795991514E-2</v>
      </c>
      <c r="V26">
        <f t="shared" si="6"/>
        <v>-0.71789031680406712</v>
      </c>
    </row>
    <row r="27" spans="1:24" x14ac:dyDescent="0.2">
      <c r="A27">
        <f t="shared" si="7"/>
        <v>26</v>
      </c>
      <c r="B27" s="2">
        <f t="shared" si="8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6">
        <v>5.4</v>
      </c>
      <c r="H27" s="5">
        <v>10</v>
      </c>
      <c r="I27" s="7" t="s">
        <v>20</v>
      </c>
      <c r="J27" s="8" t="s">
        <v>18</v>
      </c>
      <c r="K27">
        <v>283</v>
      </c>
      <c r="L27">
        <v>109.98524049130438</v>
      </c>
      <c r="M27">
        <v>110.43891128551594</v>
      </c>
      <c r="N27">
        <f t="shared" si="0"/>
        <v>0</v>
      </c>
      <c r="O27">
        <f t="shared" si="1"/>
        <v>1</v>
      </c>
      <c r="P27">
        <f t="shared" si="2"/>
        <v>0</v>
      </c>
      <c r="Q27">
        <f t="shared" si="3"/>
        <v>1</v>
      </c>
      <c r="R27">
        <f t="shared" si="4"/>
        <v>0</v>
      </c>
      <c r="S27">
        <v>1</v>
      </c>
      <c r="T27">
        <f t="shared" si="5"/>
        <v>0.65201041661108461</v>
      </c>
      <c r="U27">
        <v>0.50510713456175138</v>
      </c>
      <c r="V27">
        <f t="shared" si="6"/>
        <v>-0.14690328204933323</v>
      </c>
    </row>
    <row r="28" spans="1:24" x14ac:dyDescent="0.2">
      <c r="A28">
        <f t="shared" si="7"/>
        <v>27</v>
      </c>
      <c r="B28" s="2">
        <f t="shared" si="8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6">
        <v>5.4</v>
      </c>
      <c r="H28" s="5">
        <v>10</v>
      </c>
      <c r="I28" s="7" t="s">
        <v>20</v>
      </c>
      <c r="J28" s="8" t="s">
        <v>16</v>
      </c>
      <c r="K28">
        <v>1141</v>
      </c>
      <c r="L28">
        <v>74.238713416035168</v>
      </c>
      <c r="M28">
        <v>74.909188819985232</v>
      </c>
      <c r="N28">
        <f t="shared" si="0"/>
        <v>0</v>
      </c>
      <c r="O28">
        <f t="shared" si="1"/>
        <v>1</v>
      </c>
      <c r="P28">
        <f t="shared" si="2"/>
        <v>0</v>
      </c>
      <c r="Q28">
        <f t="shared" si="3"/>
        <v>1</v>
      </c>
      <c r="R28">
        <f t="shared" si="4"/>
        <v>0</v>
      </c>
      <c r="S28">
        <v>1</v>
      </c>
      <c r="T28">
        <f t="shared" si="5"/>
        <v>0.4090283159471515</v>
      </c>
      <c r="U28">
        <v>-0.12682074469763757</v>
      </c>
      <c r="V28">
        <f t="shared" si="6"/>
        <v>-0.5358490606447891</v>
      </c>
    </row>
    <row r="29" spans="1:24" x14ac:dyDescent="0.2">
      <c r="A29">
        <f t="shared" si="7"/>
        <v>28</v>
      </c>
      <c r="B29" s="2">
        <f t="shared" si="8"/>
        <v>13</v>
      </c>
      <c r="C29" s="27">
        <v>43310</v>
      </c>
      <c r="D29" s="28">
        <v>0.48100694444444447</v>
      </c>
      <c r="E29" s="29">
        <v>-8.33</v>
      </c>
      <c r="F29" s="29">
        <v>116.43</v>
      </c>
      <c r="G29" s="6">
        <v>3.5</v>
      </c>
      <c r="H29" s="29">
        <v>10</v>
      </c>
      <c r="I29" s="2" t="s">
        <v>20</v>
      </c>
      <c r="J29" s="8" t="s">
        <v>15</v>
      </c>
      <c r="K29">
        <v>770</v>
      </c>
      <c r="L29">
        <v>51.276522104060916</v>
      </c>
      <c r="M29">
        <v>52.242527878044413</v>
      </c>
      <c r="N29">
        <f t="shared" si="0"/>
        <v>0</v>
      </c>
      <c r="O29">
        <f t="shared" si="1"/>
        <v>1</v>
      </c>
      <c r="P29">
        <f t="shared" si="2"/>
        <v>0</v>
      </c>
      <c r="Q29">
        <f t="shared" si="3"/>
        <v>1</v>
      </c>
      <c r="R29">
        <f t="shared" si="4"/>
        <v>0</v>
      </c>
      <c r="S29">
        <v>1</v>
      </c>
      <c r="T29">
        <f t="shared" si="5"/>
        <v>-1.4163261498778841</v>
      </c>
      <c r="U29">
        <v>-1.5542368149834063</v>
      </c>
      <c r="V29">
        <f t="shared" si="6"/>
        <v>-0.13791066510552219</v>
      </c>
    </row>
    <row r="30" spans="1:24" x14ac:dyDescent="0.2">
      <c r="A30">
        <f t="shared" si="7"/>
        <v>29</v>
      </c>
      <c r="B30" s="2">
        <f t="shared" si="8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6">
        <v>4.2</v>
      </c>
      <c r="H30" s="5">
        <v>10</v>
      </c>
      <c r="I30" s="7" t="s">
        <v>20</v>
      </c>
      <c r="J30" s="8" t="s">
        <v>13</v>
      </c>
      <c r="K30">
        <v>290</v>
      </c>
      <c r="L30">
        <v>184.73212793909977</v>
      </c>
      <c r="M30">
        <v>185.00259212483465</v>
      </c>
      <c r="N30">
        <f t="shared" si="0"/>
        <v>0</v>
      </c>
      <c r="O30">
        <f t="shared" si="1"/>
        <v>1</v>
      </c>
      <c r="P30">
        <f t="shared" si="2"/>
        <v>0</v>
      </c>
      <c r="Q30">
        <f t="shared" si="3"/>
        <v>1</v>
      </c>
      <c r="R30">
        <f t="shared" si="4"/>
        <v>0</v>
      </c>
      <c r="S30">
        <v>0</v>
      </c>
      <c r="T30">
        <f t="shared" si="5"/>
        <v>-0.93112794819483213</v>
      </c>
      <c r="U30">
        <v>-1.2188734343069818</v>
      </c>
      <c r="V30">
        <f t="shared" si="6"/>
        <v>-0.28774548611214967</v>
      </c>
    </row>
    <row r="31" spans="1:24" x14ac:dyDescent="0.2">
      <c r="A31" s="19">
        <f t="shared" si="7"/>
        <v>30</v>
      </c>
      <c r="B31" s="20">
        <f t="shared" si="8"/>
        <v>15</v>
      </c>
      <c r="C31" s="30">
        <v>43317</v>
      </c>
      <c r="D31" s="31">
        <v>0.49070601851851853</v>
      </c>
      <c r="E31" s="32">
        <v>-8.2899999999999991</v>
      </c>
      <c r="F31" s="32">
        <v>116.48</v>
      </c>
      <c r="G31" s="24">
        <v>6.9</v>
      </c>
      <c r="H31" s="32">
        <v>17.8</v>
      </c>
      <c r="I31" s="20" t="s">
        <v>20</v>
      </c>
      <c r="J31" s="26" t="s">
        <v>15</v>
      </c>
      <c r="K31">
        <v>770</v>
      </c>
      <c r="L31">
        <v>57.419723907976618</v>
      </c>
      <c r="M31">
        <v>60.115428083548252</v>
      </c>
      <c r="N31">
        <f t="shared" si="0"/>
        <v>0</v>
      </c>
      <c r="O31">
        <f t="shared" si="1"/>
        <v>1</v>
      </c>
      <c r="P31">
        <f t="shared" si="2"/>
        <v>0</v>
      </c>
      <c r="Q31">
        <f t="shared" si="3"/>
        <v>0</v>
      </c>
      <c r="R31">
        <f t="shared" si="4"/>
        <v>1</v>
      </c>
      <c r="S31">
        <v>1</v>
      </c>
      <c r="T31">
        <f t="shared" si="5"/>
        <v>1.7304128284811742</v>
      </c>
      <c r="U31">
        <v>1.2166170611407527</v>
      </c>
      <c r="V31">
        <f t="shared" si="6"/>
        <v>-0.51379576734042143</v>
      </c>
    </row>
    <row r="32" spans="1:24" x14ac:dyDescent="0.2">
      <c r="A32" s="19">
        <f t="shared" si="7"/>
        <v>31</v>
      </c>
      <c r="B32" s="20">
        <f t="shared" si="8"/>
        <v>15</v>
      </c>
      <c r="C32" s="21">
        <v>43317</v>
      </c>
      <c r="D32" s="22">
        <v>0.49070601851851853</v>
      </c>
      <c r="E32" s="32">
        <v>-8.2899999999999991</v>
      </c>
      <c r="F32" s="23">
        <v>116.48</v>
      </c>
      <c r="G32" s="24">
        <v>6.9</v>
      </c>
      <c r="H32" s="32">
        <v>17.8</v>
      </c>
      <c r="I32" s="25" t="s">
        <v>20</v>
      </c>
      <c r="J32" s="26" t="s">
        <v>18</v>
      </c>
      <c r="K32">
        <v>283</v>
      </c>
      <c r="L32">
        <v>105.96476647702214</v>
      </c>
      <c r="M32">
        <v>107.44939150376719</v>
      </c>
      <c r="N32">
        <f t="shared" si="0"/>
        <v>0</v>
      </c>
      <c r="O32">
        <f t="shared" si="1"/>
        <v>1</v>
      </c>
      <c r="P32">
        <f t="shared" si="2"/>
        <v>0</v>
      </c>
      <c r="Q32">
        <f t="shared" si="3"/>
        <v>0</v>
      </c>
      <c r="R32">
        <f t="shared" si="4"/>
        <v>1</v>
      </c>
      <c r="S32">
        <v>0</v>
      </c>
      <c r="T32">
        <f t="shared" si="5"/>
        <v>1.7217521277197323</v>
      </c>
      <c r="U32">
        <v>1.6726185734505348</v>
      </c>
      <c r="V32">
        <f t="shared" si="6"/>
        <v>-4.9133554269197521E-2</v>
      </c>
    </row>
    <row r="33" spans="1:22" x14ac:dyDescent="0.2">
      <c r="A33" s="19">
        <f t="shared" si="7"/>
        <v>32</v>
      </c>
      <c r="B33" s="20">
        <f t="shared" si="8"/>
        <v>15</v>
      </c>
      <c r="C33" s="21">
        <v>43317</v>
      </c>
      <c r="D33" s="22">
        <v>0.49070601851851853</v>
      </c>
      <c r="E33" s="32">
        <v>-8.2899999999999991</v>
      </c>
      <c r="F33" s="23">
        <v>116.48</v>
      </c>
      <c r="G33" s="24">
        <v>6.9</v>
      </c>
      <c r="H33" s="32">
        <v>17.8</v>
      </c>
      <c r="I33" s="25" t="s">
        <v>20</v>
      </c>
      <c r="J33" s="26" t="s">
        <v>16</v>
      </c>
      <c r="K33">
        <v>1141</v>
      </c>
      <c r="L33">
        <v>66.881610355374306</v>
      </c>
      <c r="M33">
        <v>69.20975222992864</v>
      </c>
      <c r="N33">
        <f t="shared" si="0"/>
        <v>0</v>
      </c>
      <c r="O33">
        <f t="shared" si="1"/>
        <v>1</v>
      </c>
      <c r="P33">
        <f t="shared" si="2"/>
        <v>0</v>
      </c>
      <c r="Q33">
        <f t="shared" si="3"/>
        <v>0</v>
      </c>
      <c r="R33">
        <f t="shared" si="4"/>
        <v>1</v>
      </c>
      <c r="S33">
        <v>1</v>
      </c>
      <c r="T33">
        <f t="shared" si="5"/>
        <v>1.5110891439591687</v>
      </c>
      <c r="U33">
        <v>0.92013501336618353</v>
      </c>
      <c r="V33">
        <f t="shared" si="6"/>
        <v>-0.59095413059298518</v>
      </c>
    </row>
    <row r="34" spans="1:22" x14ac:dyDescent="0.2">
      <c r="A34">
        <f t="shared" si="7"/>
        <v>33</v>
      </c>
      <c r="B34" s="2">
        <f t="shared" si="8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6">
        <v>4.4000000000000004</v>
      </c>
      <c r="H34" s="5">
        <v>10</v>
      </c>
      <c r="I34" s="7" t="s">
        <v>20</v>
      </c>
      <c r="J34" s="8" t="s">
        <v>18</v>
      </c>
      <c r="K34">
        <v>283</v>
      </c>
      <c r="L34">
        <v>154.91870209025714</v>
      </c>
      <c r="M34">
        <v>155.24111651662983</v>
      </c>
      <c r="N34">
        <f t="shared" ref="N34:N65" si="9">IF(I34="normal",1,0)</f>
        <v>0</v>
      </c>
      <c r="O34">
        <f t="shared" ref="O34:O65" si="10">IF(I34="reverse",1,0)</f>
        <v>1</v>
      </c>
      <c r="P34">
        <f t="shared" si="2"/>
        <v>0</v>
      </c>
      <c r="Q34">
        <f t="shared" si="3"/>
        <v>1</v>
      </c>
      <c r="R34">
        <f t="shared" si="4"/>
        <v>0</v>
      </c>
      <c r="S34">
        <v>1</v>
      </c>
      <c r="T34">
        <f t="shared" si="5"/>
        <v>-0.58140714896784007</v>
      </c>
      <c r="U34">
        <v>-0.92414220963919147</v>
      </c>
      <c r="V34">
        <f t="shared" si="6"/>
        <v>-0.3427350606713514</v>
      </c>
    </row>
    <row r="35" spans="1:22" x14ac:dyDescent="0.2">
      <c r="A35">
        <f t="shared" si="7"/>
        <v>34</v>
      </c>
      <c r="B35" s="2">
        <f t="shared" si="8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6">
        <v>5.0999999999999996</v>
      </c>
      <c r="H35" s="5">
        <v>23</v>
      </c>
      <c r="I35" s="7" t="s">
        <v>20</v>
      </c>
      <c r="J35" s="8" t="s">
        <v>18</v>
      </c>
      <c r="K35">
        <v>283</v>
      </c>
      <c r="L35">
        <v>153.83691687865382</v>
      </c>
      <c r="M35">
        <v>155.5467678697627</v>
      </c>
      <c r="N35">
        <f t="shared" si="9"/>
        <v>0</v>
      </c>
      <c r="O35">
        <f t="shared" si="10"/>
        <v>1</v>
      </c>
      <c r="P35">
        <f t="shared" si="2"/>
        <v>0</v>
      </c>
      <c r="Q35">
        <f t="shared" si="3"/>
        <v>1</v>
      </c>
      <c r="R35">
        <f t="shared" si="4"/>
        <v>0</v>
      </c>
      <c r="S35">
        <v>1</v>
      </c>
      <c r="T35">
        <f t="shared" si="5"/>
        <v>0.16414347330138646</v>
      </c>
      <c r="U35">
        <v>9.9238459683012897E-2</v>
      </c>
      <c r="V35">
        <f t="shared" si="6"/>
        <v>-6.4905013618373558E-2</v>
      </c>
    </row>
    <row r="36" spans="1:22" x14ac:dyDescent="0.2">
      <c r="A36">
        <f t="shared" si="7"/>
        <v>35</v>
      </c>
      <c r="B36" s="2">
        <f t="shared" si="8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6">
        <v>5.0999999999999996</v>
      </c>
      <c r="H36" s="5">
        <v>23</v>
      </c>
      <c r="I36" s="7" t="s">
        <v>20</v>
      </c>
      <c r="J36" s="8" t="s">
        <v>16</v>
      </c>
      <c r="K36">
        <v>1141</v>
      </c>
      <c r="L36">
        <v>101.03942513429189</v>
      </c>
      <c r="M36">
        <v>103.6241546719112</v>
      </c>
      <c r="N36">
        <f t="shared" si="9"/>
        <v>0</v>
      </c>
      <c r="O36">
        <f t="shared" si="10"/>
        <v>1</v>
      </c>
      <c r="P36">
        <f t="shared" si="2"/>
        <v>0</v>
      </c>
      <c r="Q36">
        <f t="shared" si="3"/>
        <v>1</v>
      </c>
      <c r="R36">
        <f t="shared" si="4"/>
        <v>0</v>
      </c>
      <c r="S36">
        <v>1</v>
      </c>
      <c r="T36">
        <f t="shared" si="5"/>
        <v>-6.8090013594523519E-2</v>
      </c>
      <c r="U36">
        <v>-0.14184858374563356</v>
      </c>
      <c r="V36">
        <f t="shared" si="6"/>
        <v>-7.3758570151110037E-2</v>
      </c>
    </row>
    <row r="37" spans="1:22" x14ac:dyDescent="0.2">
      <c r="A37">
        <f t="shared" si="7"/>
        <v>36</v>
      </c>
      <c r="B37" s="2">
        <f t="shared" si="8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6">
        <v>3.9</v>
      </c>
      <c r="H37" s="5">
        <v>10</v>
      </c>
      <c r="I37" s="7" t="s">
        <v>20</v>
      </c>
      <c r="J37" s="8" t="s">
        <v>16</v>
      </c>
      <c r="K37">
        <v>1141</v>
      </c>
      <c r="L37">
        <v>96.076875672391154</v>
      </c>
      <c r="M37">
        <v>96.595890383432504</v>
      </c>
      <c r="N37">
        <f t="shared" si="9"/>
        <v>0</v>
      </c>
      <c r="O37">
        <f t="shared" si="10"/>
        <v>1</v>
      </c>
      <c r="P37">
        <f t="shared" si="2"/>
        <v>0</v>
      </c>
      <c r="Q37">
        <f t="shared" si="3"/>
        <v>1</v>
      </c>
      <c r="R37">
        <f t="shared" si="4"/>
        <v>0</v>
      </c>
      <c r="S37">
        <v>1</v>
      </c>
      <c r="T37">
        <f t="shared" si="5"/>
        <v>-1.3834810481444211</v>
      </c>
      <c r="U37">
        <v>-1.9838703130876405</v>
      </c>
      <c r="V37">
        <f t="shared" si="6"/>
        <v>-0.60038926494321943</v>
      </c>
    </row>
    <row r="38" spans="1:22" x14ac:dyDescent="0.2">
      <c r="A38">
        <f t="shared" si="7"/>
        <v>37</v>
      </c>
      <c r="B38" s="2">
        <f t="shared" si="8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6">
        <v>4.4000000000000004</v>
      </c>
      <c r="H38" s="5">
        <v>11</v>
      </c>
      <c r="I38" s="7" t="s">
        <v>20</v>
      </c>
      <c r="J38" s="8" t="s">
        <v>13</v>
      </c>
      <c r="K38">
        <v>290</v>
      </c>
      <c r="L38">
        <v>254.16745999184849</v>
      </c>
      <c r="M38">
        <v>254.40538067955225</v>
      </c>
      <c r="N38">
        <f t="shared" si="9"/>
        <v>0</v>
      </c>
      <c r="O38">
        <f t="shared" si="10"/>
        <v>1</v>
      </c>
      <c r="P38">
        <f t="shared" si="2"/>
        <v>0</v>
      </c>
      <c r="Q38">
        <f t="shared" si="3"/>
        <v>1</v>
      </c>
      <c r="R38">
        <f t="shared" si="4"/>
        <v>0</v>
      </c>
      <c r="S38">
        <v>1</v>
      </c>
      <c r="T38">
        <f t="shared" si="5"/>
        <v>-0.88602162292199804</v>
      </c>
      <c r="U38">
        <v>-1.0463396813917905</v>
      </c>
      <c r="V38">
        <f t="shared" si="6"/>
        <v>-0.16031805846979241</v>
      </c>
    </row>
    <row r="39" spans="1:22" x14ac:dyDescent="0.2">
      <c r="A39">
        <f t="shared" si="7"/>
        <v>38</v>
      </c>
      <c r="B39" s="2">
        <f t="shared" si="8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6">
        <v>4.4000000000000004</v>
      </c>
      <c r="H39" s="5">
        <v>11</v>
      </c>
      <c r="I39" s="7" t="s">
        <v>20</v>
      </c>
      <c r="J39" s="8" t="s">
        <v>16</v>
      </c>
      <c r="K39">
        <v>1141</v>
      </c>
      <c r="L39">
        <v>104.48053403207783</v>
      </c>
      <c r="M39">
        <v>105.05799346850374</v>
      </c>
      <c r="N39">
        <f t="shared" si="9"/>
        <v>0</v>
      </c>
      <c r="O39">
        <f t="shared" si="10"/>
        <v>1</v>
      </c>
      <c r="P39">
        <f t="shared" si="2"/>
        <v>0</v>
      </c>
      <c r="Q39">
        <f t="shared" si="3"/>
        <v>1</v>
      </c>
      <c r="R39">
        <f t="shared" si="4"/>
        <v>0</v>
      </c>
      <c r="S39">
        <v>1</v>
      </c>
      <c r="T39">
        <f t="shared" si="5"/>
        <v>-0.82361507156401892</v>
      </c>
      <c r="U39">
        <v>-1.1430074777088635</v>
      </c>
      <c r="V39">
        <f t="shared" si="6"/>
        <v>-0.31939240614484454</v>
      </c>
    </row>
    <row r="40" spans="1:22" x14ac:dyDescent="0.2">
      <c r="A40">
        <f t="shared" si="7"/>
        <v>39</v>
      </c>
      <c r="B40" s="2">
        <f t="shared" si="8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6">
        <v>3.8</v>
      </c>
      <c r="H40" s="5">
        <v>14</v>
      </c>
      <c r="I40" s="7" t="s">
        <v>20</v>
      </c>
      <c r="J40" s="8" t="s">
        <v>16</v>
      </c>
      <c r="K40">
        <v>1141</v>
      </c>
      <c r="L40">
        <v>91.835397766047166</v>
      </c>
      <c r="M40">
        <v>92.896395424408695</v>
      </c>
      <c r="N40">
        <f t="shared" si="9"/>
        <v>0</v>
      </c>
      <c r="O40">
        <f t="shared" si="10"/>
        <v>1</v>
      </c>
      <c r="P40">
        <f t="shared" si="2"/>
        <v>0</v>
      </c>
      <c r="Q40">
        <f t="shared" si="3"/>
        <v>1</v>
      </c>
      <c r="R40">
        <f t="shared" si="4"/>
        <v>0</v>
      </c>
      <c r="S40">
        <v>1</v>
      </c>
      <c r="T40">
        <f t="shared" si="5"/>
        <v>-1.4898007182437087</v>
      </c>
      <c r="U40">
        <v>-1.5738634645572431</v>
      </c>
      <c r="V40">
        <f t="shared" si="6"/>
        <v>-8.4062746313534387E-2</v>
      </c>
    </row>
    <row r="41" spans="1:22" x14ac:dyDescent="0.2">
      <c r="A41">
        <f t="shared" si="7"/>
        <v>40</v>
      </c>
      <c r="B41" s="2">
        <f t="shared" si="8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6">
        <v>4.5999999999999996</v>
      </c>
      <c r="H41" s="5">
        <v>12</v>
      </c>
      <c r="I41" s="7" t="s">
        <v>20</v>
      </c>
      <c r="J41" s="8" t="s">
        <v>13</v>
      </c>
      <c r="K41">
        <v>290</v>
      </c>
      <c r="L41">
        <v>240.35487107688945</v>
      </c>
      <c r="M41">
        <v>240.65424170454207</v>
      </c>
      <c r="N41">
        <f t="shared" si="9"/>
        <v>0</v>
      </c>
      <c r="O41">
        <f t="shared" si="10"/>
        <v>1</v>
      </c>
      <c r="P41">
        <f t="shared" si="2"/>
        <v>0</v>
      </c>
      <c r="Q41">
        <f t="shared" si="3"/>
        <v>1</v>
      </c>
      <c r="R41">
        <f t="shared" si="4"/>
        <v>0</v>
      </c>
      <c r="S41">
        <v>1</v>
      </c>
      <c r="T41">
        <f t="shared" si="5"/>
        <v>-0.62678471063594865</v>
      </c>
      <c r="U41">
        <v>-0.90639219138597138</v>
      </c>
      <c r="V41">
        <f t="shared" si="6"/>
        <v>-0.27960748075002273</v>
      </c>
    </row>
    <row r="42" spans="1:22" x14ac:dyDescent="0.2">
      <c r="A42">
        <f t="shared" si="7"/>
        <v>41</v>
      </c>
      <c r="B42" s="2">
        <f t="shared" si="8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6">
        <v>4.5999999999999996</v>
      </c>
      <c r="H42" s="5">
        <v>12</v>
      </c>
      <c r="I42" s="7" t="s">
        <v>20</v>
      </c>
      <c r="J42" s="8" t="s">
        <v>18</v>
      </c>
      <c r="K42">
        <v>283</v>
      </c>
      <c r="L42">
        <v>141.11331413559105</v>
      </c>
      <c r="M42">
        <v>141.62262328572368</v>
      </c>
      <c r="N42">
        <f t="shared" si="9"/>
        <v>0</v>
      </c>
      <c r="O42">
        <f t="shared" si="10"/>
        <v>1</v>
      </c>
      <c r="P42">
        <f t="shared" si="2"/>
        <v>0</v>
      </c>
      <c r="Q42">
        <f t="shared" si="3"/>
        <v>1</v>
      </c>
      <c r="R42">
        <f t="shared" si="4"/>
        <v>0</v>
      </c>
      <c r="S42">
        <v>1</v>
      </c>
      <c r="T42">
        <f t="shared" si="5"/>
        <v>-0.30023832420380742</v>
      </c>
      <c r="U42">
        <v>-0.36666478055770835</v>
      </c>
      <c r="V42">
        <f t="shared" si="6"/>
        <v>-6.6426456353900931E-2</v>
      </c>
    </row>
    <row r="43" spans="1:22" x14ac:dyDescent="0.2">
      <c r="A43">
        <f t="shared" si="7"/>
        <v>42</v>
      </c>
      <c r="B43" s="2">
        <f t="shared" si="8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6">
        <v>6.1</v>
      </c>
      <c r="H43" s="5">
        <v>12</v>
      </c>
      <c r="I43" s="7" t="s">
        <v>20</v>
      </c>
      <c r="J43" s="8" t="s">
        <v>18</v>
      </c>
      <c r="K43">
        <v>283</v>
      </c>
      <c r="L43">
        <v>133.30300987573361</v>
      </c>
      <c r="M43">
        <v>133.8420428786483</v>
      </c>
      <c r="N43">
        <f t="shared" si="9"/>
        <v>0</v>
      </c>
      <c r="O43">
        <f t="shared" si="10"/>
        <v>1</v>
      </c>
      <c r="P43">
        <f t="shared" si="2"/>
        <v>0</v>
      </c>
      <c r="Q43">
        <f t="shared" si="3"/>
        <v>1</v>
      </c>
      <c r="R43">
        <f t="shared" si="4"/>
        <v>0</v>
      </c>
      <c r="S43">
        <v>1</v>
      </c>
      <c r="T43">
        <f t="shared" si="5"/>
        <v>1.1052121738402481</v>
      </c>
      <c r="U43">
        <v>0.91330595008023785</v>
      </c>
      <c r="V43">
        <f t="shared" si="6"/>
        <v>-0.19190622376001021</v>
      </c>
    </row>
    <row r="44" spans="1:22" x14ac:dyDescent="0.2">
      <c r="A44">
        <f t="shared" si="7"/>
        <v>43</v>
      </c>
      <c r="B44" s="2">
        <f t="shared" si="8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6">
        <v>6.1</v>
      </c>
      <c r="H44" s="5">
        <v>12</v>
      </c>
      <c r="I44" s="7" t="s">
        <v>20</v>
      </c>
      <c r="J44" s="8" t="s">
        <v>16</v>
      </c>
      <c r="K44">
        <v>1141</v>
      </c>
      <c r="L44">
        <v>84.698985891143934</v>
      </c>
      <c r="M44">
        <v>85.544831585480367</v>
      </c>
      <c r="N44">
        <f t="shared" si="9"/>
        <v>0</v>
      </c>
      <c r="O44">
        <f t="shared" si="10"/>
        <v>1</v>
      </c>
      <c r="P44">
        <f t="shared" si="2"/>
        <v>0</v>
      </c>
      <c r="Q44">
        <f t="shared" si="3"/>
        <v>1</v>
      </c>
      <c r="R44">
        <f t="shared" si="4"/>
        <v>0</v>
      </c>
      <c r="S44">
        <v>1</v>
      </c>
      <c r="T44">
        <f t="shared" si="5"/>
        <v>0.89867695778821599</v>
      </c>
      <c r="U44">
        <v>0.48703752691679586</v>
      </c>
      <c r="V44">
        <f t="shared" si="6"/>
        <v>-0.41163943087142013</v>
      </c>
    </row>
    <row r="45" spans="1:22" x14ac:dyDescent="0.2">
      <c r="A45">
        <f t="shared" si="7"/>
        <v>44</v>
      </c>
      <c r="B45" s="2">
        <f t="shared" si="8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6">
        <v>4.8</v>
      </c>
      <c r="H45" s="5">
        <v>10</v>
      </c>
      <c r="I45" s="7" t="s">
        <v>20</v>
      </c>
      <c r="J45" s="8" t="s">
        <v>13</v>
      </c>
      <c r="K45">
        <v>290</v>
      </c>
      <c r="L45">
        <v>209.11492183048009</v>
      </c>
      <c r="M45">
        <v>209.3538882661791</v>
      </c>
      <c r="N45">
        <f t="shared" si="9"/>
        <v>0</v>
      </c>
      <c r="O45">
        <f t="shared" si="10"/>
        <v>1</v>
      </c>
      <c r="P45">
        <f t="shared" si="2"/>
        <v>0</v>
      </c>
      <c r="Q45">
        <f t="shared" si="3"/>
        <v>1</v>
      </c>
      <c r="R45">
        <f t="shared" si="4"/>
        <v>0</v>
      </c>
      <c r="S45">
        <v>1</v>
      </c>
      <c r="T45">
        <f t="shared" si="5"/>
        <v>-0.32737189473805678</v>
      </c>
      <c r="U45">
        <v>-0.51728490515436887</v>
      </c>
      <c r="V45">
        <f t="shared" si="6"/>
        <v>-0.18991301041631209</v>
      </c>
    </row>
    <row r="46" spans="1:22" x14ac:dyDescent="0.2">
      <c r="A46">
        <f t="shared" si="7"/>
        <v>45</v>
      </c>
      <c r="B46" s="2">
        <f t="shared" si="8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6">
        <v>4</v>
      </c>
      <c r="H46" s="5">
        <v>10</v>
      </c>
      <c r="I46" s="7" t="s">
        <v>20</v>
      </c>
      <c r="J46" s="8" t="s">
        <v>12</v>
      </c>
      <c r="K46">
        <v>386</v>
      </c>
      <c r="L46">
        <v>266.53643214013192</v>
      </c>
      <c r="M46">
        <v>266.72395778780572</v>
      </c>
      <c r="N46">
        <f t="shared" si="9"/>
        <v>0</v>
      </c>
      <c r="O46">
        <f t="shared" si="10"/>
        <v>1</v>
      </c>
      <c r="P46">
        <f t="shared" si="2"/>
        <v>0</v>
      </c>
      <c r="Q46">
        <f t="shared" si="3"/>
        <v>1</v>
      </c>
      <c r="R46">
        <f t="shared" si="4"/>
        <v>0</v>
      </c>
      <c r="S46">
        <v>1</v>
      </c>
      <c r="T46">
        <f t="shared" si="5"/>
        <v>-1.4943424881237408</v>
      </c>
      <c r="U46">
        <v>-1.452176823655444</v>
      </c>
      <c r="V46">
        <f t="shared" si="6"/>
        <v>4.2165664468296837E-2</v>
      </c>
    </row>
    <row r="47" spans="1:22" x14ac:dyDescent="0.2">
      <c r="A47">
        <f t="shared" si="7"/>
        <v>46</v>
      </c>
      <c r="B47" s="2">
        <f t="shared" si="8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6">
        <v>4</v>
      </c>
      <c r="H47" s="5">
        <v>10</v>
      </c>
      <c r="I47" s="7" t="s">
        <v>20</v>
      </c>
      <c r="J47" s="8" t="s">
        <v>18</v>
      </c>
      <c r="K47">
        <v>283</v>
      </c>
      <c r="L47">
        <v>125.86472859435281</v>
      </c>
      <c r="M47">
        <v>126.261355545274</v>
      </c>
      <c r="N47">
        <f t="shared" si="9"/>
        <v>0</v>
      </c>
      <c r="O47">
        <f t="shared" si="10"/>
        <v>1</v>
      </c>
      <c r="P47">
        <f t="shared" si="2"/>
        <v>0</v>
      </c>
      <c r="Q47">
        <f t="shared" si="3"/>
        <v>1</v>
      </c>
      <c r="R47">
        <f t="shared" si="4"/>
        <v>0</v>
      </c>
      <c r="S47">
        <v>1</v>
      </c>
      <c r="T47">
        <f t="shared" si="5"/>
        <v>-0.94036434503202571</v>
      </c>
      <c r="U47">
        <v>-0.85801862018796105</v>
      </c>
      <c r="V47">
        <f t="shared" si="6"/>
        <v>8.2345724844064661E-2</v>
      </c>
    </row>
    <row r="48" spans="1:22" x14ac:dyDescent="0.2">
      <c r="A48">
        <f t="shared" si="7"/>
        <v>47</v>
      </c>
      <c r="B48" s="2">
        <f t="shared" si="8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6">
        <v>4</v>
      </c>
      <c r="H48" s="5">
        <v>10</v>
      </c>
      <c r="I48" s="7" t="s">
        <v>20</v>
      </c>
      <c r="J48" s="8" t="s">
        <v>16</v>
      </c>
      <c r="K48">
        <v>1141</v>
      </c>
      <c r="L48">
        <v>87.215807594313191</v>
      </c>
      <c r="M48">
        <v>87.787226259452225</v>
      </c>
      <c r="N48">
        <f t="shared" si="9"/>
        <v>0</v>
      </c>
      <c r="O48">
        <f t="shared" si="10"/>
        <v>1</v>
      </c>
      <c r="P48">
        <f t="shared" si="2"/>
        <v>0</v>
      </c>
      <c r="Q48">
        <f t="shared" si="3"/>
        <v>1</v>
      </c>
      <c r="R48">
        <f t="shared" si="4"/>
        <v>0</v>
      </c>
      <c r="S48">
        <v>1</v>
      </c>
      <c r="T48">
        <f t="shared" si="5"/>
        <v>-1.1991388222264192</v>
      </c>
      <c r="U48">
        <v>-1.4300533738877257</v>
      </c>
      <c r="V48">
        <f t="shared" si="6"/>
        <v>-0.23091455166130648</v>
      </c>
    </row>
    <row r="49" spans="1:22" x14ac:dyDescent="0.2">
      <c r="A49">
        <f t="shared" si="7"/>
        <v>48</v>
      </c>
      <c r="B49" s="2">
        <f t="shared" si="8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6">
        <v>4.5</v>
      </c>
      <c r="H49" s="5">
        <v>10</v>
      </c>
      <c r="I49" s="7" t="s">
        <v>20</v>
      </c>
      <c r="J49" s="8" t="s">
        <v>16</v>
      </c>
      <c r="K49">
        <v>1141</v>
      </c>
      <c r="L49">
        <v>91.933864428229342</v>
      </c>
      <c r="M49">
        <v>92.47613437372938</v>
      </c>
      <c r="N49">
        <f t="shared" si="9"/>
        <v>0</v>
      </c>
      <c r="O49">
        <f t="shared" si="10"/>
        <v>1</v>
      </c>
      <c r="P49">
        <f t="shared" si="2"/>
        <v>0</v>
      </c>
      <c r="Q49">
        <f t="shared" si="3"/>
        <v>1</v>
      </c>
      <c r="R49">
        <f t="shared" si="4"/>
        <v>0</v>
      </c>
      <c r="S49">
        <v>1</v>
      </c>
      <c r="T49">
        <f t="shared" si="5"/>
        <v>-0.63276211775344848</v>
      </c>
      <c r="U49">
        <v>-1.0920971719524655</v>
      </c>
      <c r="V49">
        <f t="shared" si="6"/>
        <v>-0.45933505419901699</v>
      </c>
    </row>
    <row r="50" spans="1:22" x14ac:dyDescent="0.2">
      <c r="A50">
        <f t="shared" si="7"/>
        <v>49</v>
      </c>
      <c r="B50" s="2">
        <f t="shared" si="8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6">
        <v>4.5999999999999996</v>
      </c>
      <c r="H50" s="5">
        <v>10</v>
      </c>
      <c r="I50" s="7" t="s">
        <v>20</v>
      </c>
      <c r="J50" s="8" t="s">
        <v>13</v>
      </c>
      <c r="K50">
        <v>290</v>
      </c>
      <c r="L50">
        <v>192.58708677294078</v>
      </c>
      <c r="M50">
        <v>192.84653481898042</v>
      </c>
      <c r="N50">
        <f t="shared" si="9"/>
        <v>0</v>
      </c>
      <c r="O50">
        <f t="shared" si="10"/>
        <v>1</v>
      </c>
      <c r="P50">
        <f t="shared" si="2"/>
        <v>0</v>
      </c>
      <c r="Q50">
        <f t="shared" si="3"/>
        <v>1</v>
      </c>
      <c r="R50">
        <f t="shared" si="4"/>
        <v>0</v>
      </c>
      <c r="S50">
        <v>0</v>
      </c>
      <c r="T50">
        <f t="shared" si="5"/>
        <v>-0.49385634898262515</v>
      </c>
      <c r="U50">
        <v>-0.58344736086219107</v>
      </c>
      <c r="V50">
        <f t="shared" si="6"/>
        <v>-8.9591011879565918E-2</v>
      </c>
    </row>
    <row r="51" spans="1:22" x14ac:dyDescent="0.2">
      <c r="A51">
        <f t="shared" si="7"/>
        <v>50</v>
      </c>
      <c r="B51" s="2">
        <f t="shared" si="8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6">
        <v>4.5999999999999996</v>
      </c>
      <c r="H51" s="5">
        <v>10</v>
      </c>
      <c r="I51" s="7" t="s">
        <v>20</v>
      </c>
      <c r="J51" s="8" t="s">
        <v>18</v>
      </c>
      <c r="K51">
        <v>283</v>
      </c>
      <c r="L51">
        <v>94.763350515534441</v>
      </c>
      <c r="M51">
        <v>95.289519890332343</v>
      </c>
      <c r="N51">
        <f t="shared" si="9"/>
        <v>0</v>
      </c>
      <c r="O51">
        <f t="shared" si="10"/>
        <v>1</v>
      </c>
      <c r="P51">
        <f t="shared" si="2"/>
        <v>0</v>
      </c>
      <c r="Q51">
        <f t="shared" si="3"/>
        <v>1</v>
      </c>
      <c r="R51">
        <f t="shared" si="4"/>
        <v>0</v>
      </c>
      <c r="S51">
        <v>0</v>
      </c>
      <c r="T51">
        <f t="shared" si="5"/>
        <v>-6.2557943582097139E-2</v>
      </c>
      <c r="U51">
        <v>-0.14412837951156723</v>
      </c>
      <c r="V51">
        <f t="shared" si="6"/>
        <v>-8.1570435929470095E-2</v>
      </c>
    </row>
    <row r="52" spans="1:22" x14ac:dyDescent="0.2">
      <c r="A52">
        <f t="shared" si="7"/>
        <v>51</v>
      </c>
      <c r="B52" s="2">
        <f t="shared" si="8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6">
        <v>4.5999999999999996</v>
      </c>
      <c r="H52" s="5">
        <v>10</v>
      </c>
      <c r="I52" s="7" t="s">
        <v>20</v>
      </c>
      <c r="J52" s="8" t="s">
        <v>16</v>
      </c>
      <c r="K52">
        <v>1141</v>
      </c>
      <c r="L52">
        <v>64.561395361687786</v>
      </c>
      <c r="M52">
        <v>65.331261820419186</v>
      </c>
      <c r="N52">
        <f t="shared" si="9"/>
        <v>0</v>
      </c>
      <c r="O52">
        <f t="shared" si="10"/>
        <v>1</v>
      </c>
      <c r="P52">
        <f t="shared" si="2"/>
        <v>0</v>
      </c>
      <c r="Q52">
        <f t="shared" si="3"/>
        <v>1</v>
      </c>
      <c r="R52">
        <f t="shared" si="4"/>
        <v>0</v>
      </c>
      <c r="S52">
        <v>0</v>
      </c>
      <c r="T52">
        <f t="shared" si="5"/>
        <v>-0.31269586683354078</v>
      </c>
      <c r="U52">
        <v>-0.78060022287066289</v>
      </c>
      <c r="V52">
        <f t="shared" si="6"/>
        <v>-0.4679043560371221</v>
      </c>
    </row>
    <row r="53" spans="1:22" x14ac:dyDescent="0.2">
      <c r="A53">
        <f t="shared" si="7"/>
        <v>52</v>
      </c>
      <c r="B53" s="2">
        <f t="shared" si="8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6">
        <v>4.3</v>
      </c>
      <c r="H53" s="5">
        <v>10</v>
      </c>
      <c r="I53" s="7" t="s">
        <v>20</v>
      </c>
      <c r="J53" s="8" t="s">
        <v>18</v>
      </c>
      <c r="K53">
        <v>283</v>
      </c>
      <c r="L53">
        <v>98.832364451782198</v>
      </c>
      <c r="M53">
        <v>99.336983360327082</v>
      </c>
      <c r="N53">
        <f t="shared" si="9"/>
        <v>0</v>
      </c>
      <c r="O53">
        <f t="shared" si="10"/>
        <v>1</v>
      </c>
      <c r="P53">
        <f t="shared" si="2"/>
        <v>0</v>
      </c>
      <c r="Q53">
        <f t="shared" si="3"/>
        <v>1</v>
      </c>
      <c r="R53">
        <f t="shared" si="4"/>
        <v>0</v>
      </c>
      <c r="S53">
        <v>0</v>
      </c>
      <c r="T53">
        <f t="shared" si="5"/>
        <v>-0.43069580919115108</v>
      </c>
      <c r="U53">
        <v>-0.52552821549520412</v>
      </c>
      <c r="V53">
        <f t="shared" si="6"/>
        <v>-9.4832406304053041E-2</v>
      </c>
    </row>
    <row r="54" spans="1:22" x14ac:dyDescent="0.2">
      <c r="A54">
        <f t="shared" si="7"/>
        <v>53</v>
      </c>
      <c r="B54" s="2">
        <f t="shared" si="8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6">
        <v>5.3</v>
      </c>
      <c r="H54" s="5">
        <v>10</v>
      </c>
      <c r="I54" s="7" t="s">
        <v>20</v>
      </c>
      <c r="J54" s="8" t="s">
        <v>18</v>
      </c>
      <c r="K54">
        <v>283</v>
      </c>
      <c r="L54">
        <v>90.807039760856895</v>
      </c>
      <c r="M54">
        <v>91.355998544867575</v>
      </c>
      <c r="N54">
        <f t="shared" si="9"/>
        <v>0</v>
      </c>
      <c r="O54">
        <f t="shared" si="10"/>
        <v>1</v>
      </c>
      <c r="P54">
        <f t="shared" si="2"/>
        <v>0</v>
      </c>
      <c r="Q54">
        <f t="shared" si="3"/>
        <v>1</v>
      </c>
      <c r="R54">
        <f t="shared" si="4"/>
        <v>0</v>
      </c>
      <c r="S54">
        <v>0</v>
      </c>
      <c r="T54">
        <f t="shared" si="5"/>
        <v>0.67455194772085392</v>
      </c>
      <c r="U54">
        <v>1.1847825215708603</v>
      </c>
      <c r="V54">
        <f t="shared" si="6"/>
        <v>0.51023057385000636</v>
      </c>
    </row>
    <row r="55" spans="1:22" x14ac:dyDescent="0.2">
      <c r="A55">
        <f t="shared" si="7"/>
        <v>54</v>
      </c>
      <c r="B55" s="2">
        <f t="shared" si="8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6">
        <v>5.3</v>
      </c>
      <c r="H55" s="5">
        <v>10</v>
      </c>
      <c r="I55" s="7" t="s">
        <v>20</v>
      </c>
      <c r="J55" s="8" t="s">
        <v>16</v>
      </c>
      <c r="K55">
        <v>1141</v>
      </c>
      <c r="L55">
        <v>57.669099196433656</v>
      </c>
      <c r="M55">
        <v>58.529693337041373</v>
      </c>
      <c r="N55">
        <f t="shared" si="9"/>
        <v>0</v>
      </c>
      <c r="O55">
        <f t="shared" si="10"/>
        <v>1</v>
      </c>
      <c r="P55">
        <f t="shared" si="2"/>
        <v>0</v>
      </c>
      <c r="Q55">
        <f t="shared" si="3"/>
        <v>1</v>
      </c>
      <c r="R55">
        <f t="shared" si="4"/>
        <v>0</v>
      </c>
      <c r="S55">
        <v>0</v>
      </c>
      <c r="T55">
        <f t="shared" si="5"/>
        <v>0.46554845883359253</v>
      </c>
      <c r="U55">
        <v>0.61295391602223714</v>
      </c>
      <c r="V55">
        <f t="shared" si="6"/>
        <v>0.14740545718864462</v>
      </c>
    </row>
    <row r="56" spans="1:22" x14ac:dyDescent="0.2">
      <c r="A56">
        <f t="shared" si="7"/>
        <v>55</v>
      </c>
      <c r="B56" s="2">
        <f t="shared" si="8"/>
        <v>29</v>
      </c>
      <c r="C56" s="33">
        <v>43331</v>
      </c>
      <c r="D56" s="4">
        <v>0.17386574074043892</v>
      </c>
      <c r="E56" s="5">
        <v>-8.24</v>
      </c>
      <c r="F56" s="5">
        <v>116.66</v>
      </c>
      <c r="G56" s="6">
        <v>6.3</v>
      </c>
      <c r="H56" s="5">
        <v>10</v>
      </c>
      <c r="I56" s="2" t="s">
        <v>20</v>
      </c>
      <c r="J56" s="8" t="s">
        <v>15</v>
      </c>
      <c r="K56">
        <v>770</v>
      </c>
      <c r="L56">
        <v>72.173831697702084</v>
      </c>
      <c r="M56">
        <v>72.863310259198542</v>
      </c>
      <c r="N56">
        <f t="shared" si="9"/>
        <v>0</v>
      </c>
      <c r="O56">
        <f t="shared" si="10"/>
        <v>1</v>
      </c>
      <c r="P56">
        <f t="shared" si="2"/>
        <v>0</v>
      </c>
      <c r="Q56">
        <f t="shared" si="3"/>
        <v>1</v>
      </c>
      <c r="R56">
        <f t="shared" si="4"/>
        <v>0</v>
      </c>
      <c r="S56">
        <v>1</v>
      </c>
      <c r="T56">
        <f t="shared" si="5"/>
        <v>1.2695011298006278</v>
      </c>
      <c r="U56">
        <v>0.594787225903332</v>
      </c>
      <c r="V56">
        <f t="shared" si="6"/>
        <v>-0.6747139038972958</v>
      </c>
    </row>
    <row r="57" spans="1:22" x14ac:dyDescent="0.2">
      <c r="A57">
        <f t="shared" si="7"/>
        <v>56</v>
      </c>
      <c r="B57" s="2">
        <f t="shared" si="8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6">
        <v>6.3</v>
      </c>
      <c r="H57" s="5">
        <v>10</v>
      </c>
      <c r="I57" s="7" t="s">
        <v>20</v>
      </c>
      <c r="J57" s="8" t="s">
        <v>18</v>
      </c>
      <c r="K57">
        <v>283</v>
      </c>
      <c r="L57">
        <v>88.078759906858352</v>
      </c>
      <c r="M57">
        <v>88.644616005316408</v>
      </c>
      <c r="N57">
        <f t="shared" si="9"/>
        <v>0</v>
      </c>
      <c r="O57">
        <f t="shared" si="10"/>
        <v>1</v>
      </c>
      <c r="P57">
        <f t="shared" si="2"/>
        <v>0</v>
      </c>
      <c r="Q57">
        <f t="shared" si="3"/>
        <v>1</v>
      </c>
      <c r="R57">
        <f t="shared" si="4"/>
        <v>0</v>
      </c>
      <c r="S57">
        <v>0</v>
      </c>
      <c r="T57">
        <f t="shared" si="5"/>
        <v>1.4933138807820525</v>
      </c>
      <c r="U57">
        <v>1.1287481520201752</v>
      </c>
      <c r="V57">
        <f t="shared" si="6"/>
        <v>-0.36456572876187732</v>
      </c>
    </row>
    <row r="58" spans="1:22" x14ac:dyDescent="0.2">
      <c r="A58">
        <f t="shared" si="7"/>
        <v>57</v>
      </c>
      <c r="B58" s="2">
        <f t="shared" si="8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6">
        <v>6.3</v>
      </c>
      <c r="H58" s="5">
        <v>10</v>
      </c>
      <c r="I58" s="7" t="s">
        <v>20</v>
      </c>
      <c r="J58" s="8" t="s">
        <v>16</v>
      </c>
      <c r="K58">
        <v>1141</v>
      </c>
      <c r="L58">
        <v>60.586448333172122</v>
      </c>
      <c r="M58">
        <v>61.406170061551101</v>
      </c>
      <c r="N58">
        <f t="shared" si="9"/>
        <v>0</v>
      </c>
      <c r="O58">
        <f t="shared" si="10"/>
        <v>1</v>
      </c>
      <c r="P58">
        <f t="shared" si="2"/>
        <v>0</v>
      </c>
      <c r="Q58">
        <f t="shared" si="3"/>
        <v>1</v>
      </c>
      <c r="R58">
        <f t="shared" si="4"/>
        <v>0</v>
      </c>
      <c r="S58">
        <v>0</v>
      </c>
      <c r="T58">
        <f t="shared" si="5"/>
        <v>1.2381535847431409</v>
      </c>
      <c r="U58">
        <v>1.0402746147908593</v>
      </c>
      <c r="V58">
        <f t="shared" si="6"/>
        <v>-0.1978789699522816</v>
      </c>
    </row>
    <row r="59" spans="1:22" x14ac:dyDescent="0.2">
      <c r="A59">
        <f t="shared" si="7"/>
        <v>58</v>
      </c>
      <c r="B59" s="2">
        <f t="shared" si="8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6">
        <v>5</v>
      </c>
      <c r="H59" s="5">
        <v>10</v>
      </c>
      <c r="I59" s="7" t="s">
        <v>20</v>
      </c>
      <c r="J59" s="8" t="s">
        <v>18</v>
      </c>
      <c r="K59">
        <v>283</v>
      </c>
      <c r="L59">
        <v>57.516438882548499</v>
      </c>
      <c r="M59">
        <v>58.379283497915054</v>
      </c>
      <c r="N59">
        <f t="shared" si="9"/>
        <v>0</v>
      </c>
      <c r="O59">
        <f t="shared" si="10"/>
        <v>1</v>
      </c>
      <c r="P59">
        <f t="shared" si="2"/>
        <v>0</v>
      </c>
      <c r="Q59">
        <f t="shared" si="3"/>
        <v>1</v>
      </c>
      <c r="R59">
        <f t="shared" si="4"/>
        <v>0</v>
      </c>
      <c r="S59">
        <v>0</v>
      </c>
      <c r="T59">
        <f t="shared" si="5"/>
        <v>0.65332937654412693</v>
      </c>
      <c r="U59">
        <v>3.0411137868580955E-2</v>
      </c>
      <c r="V59">
        <f t="shared" si="6"/>
        <v>-0.62291823867554597</v>
      </c>
    </row>
    <row r="60" spans="1:22" x14ac:dyDescent="0.2">
      <c r="A60">
        <f t="shared" si="7"/>
        <v>59</v>
      </c>
      <c r="B60" s="2">
        <f t="shared" si="8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6">
        <v>4.8</v>
      </c>
      <c r="H60" s="5">
        <v>10</v>
      </c>
      <c r="I60" s="7" t="s">
        <v>20</v>
      </c>
      <c r="J60" s="8" t="s">
        <v>12</v>
      </c>
      <c r="K60">
        <v>386</v>
      </c>
      <c r="L60">
        <v>235.11317602344423</v>
      </c>
      <c r="M60">
        <v>235.32574347026096</v>
      </c>
      <c r="N60">
        <f t="shared" si="9"/>
        <v>0</v>
      </c>
      <c r="O60">
        <f t="shared" si="10"/>
        <v>1</v>
      </c>
      <c r="P60">
        <f t="shared" si="2"/>
        <v>0</v>
      </c>
      <c r="Q60">
        <f t="shared" si="3"/>
        <v>1</v>
      </c>
      <c r="R60">
        <f t="shared" si="4"/>
        <v>0</v>
      </c>
      <c r="S60">
        <v>0</v>
      </c>
      <c r="T60">
        <f t="shared" si="5"/>
        <v>-0.4953027027348274</v>
      </c>
      <c r="U60">
        <v>-0.45771576326397867</v>
      </c>
      <c r="V60">
        <f t="shared" si="6"/>
        <v>3.7586939470848735E-2</v>
      </c>
    </row>
    <row r="61" spans="1:22" x14ac:dyDescent="0.2">
      <c r="A61">
        <f t="shared" si="7"/>
        <v>60</v>
      </c>
      <c r="B61" s="2">
        <f t="shared" si="8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6">
        <v>4.5</v>
      </c>
      <c r="H61" s="5">
        <v>10</v>
      </c>
      <c r="I61" s="7" t="s">
        <v>20</v>
      </c>
      <c r="J61" s="8" t="s">
        <v>18</v>
      </c>
      <c r="K61">
        <v>283</v>
      </c>
      <c r="L61">
        <v>97.287891794045379</v>
      </c>
      <c r="M61">
        <v>97.800480007666025</v>
      </c>
      <c r="N61">
        <f t="shared" si="9"/>
        <v>0</v>
      </c>
      <c r="O61">
        <f t="shared" si="10"/>
        <v>1</v>
      </c>
      <c r="P61">
        <f t="shared" si="2"/>
        <v>0</v>
      </c>
      <c r="Q61">
        <f t="shared" si="3"/>
        <v>1</v>
      </c>
      <c r="R61">
        <f t="shared" si="4"/>
        <v>0</v>
      </c>
      <c r="S61">
        <v>0</v>
      </c>
      <c r="T61">
        <f t="shared" si="5"/>
        <v>-0.1900100596655156</v>
      </c>
      <c r="U61">
        <v>0.13030603082764491</v>
      </c>
      <c r="V61">
        <f t="shared" si="6"/>
        <v>0.32031609049316051</v>
      </c>
    </row>
    <row r="62" spans="1:22" x14ac:dyDescent="0.2">
      <c r="A62">
        <f t="shared" si="7"/>
        <v>61</v>
      </c>
      <c r="B62" s="2">
        <f t="shared" si="8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6">
        <v>4.7</v>
      </c>
      <c r="H62" s="5">
        <v>10</v>
      </c>
      <c r="I62" s="7" t="s">
        <v>20</v>
      </c>
      <c r="J62" s="8" t="s">
        <v>12</v>
      </c>
      <c r="K62">
        <v>386</v>
      </c>
      <c r="L62">
        <v>246.0405833277724</v>
      </c>
      <c r="M62">
        <v>246.243717979303</v>
      </c>
      <c r="N62">
        <f t="shared" si="9"/>
        <v>0</v>
      </c>
      <c r="O62">
        <f t="shared" si="10"/>
        <v>1</v>
      </c>
      <c r="P62">
        <f t="shared" si="2"/>
        <v>0</v>
      </c>
      <c r="Q62">
        <f t="shared" si="3"/>
        <v>1</v>
      </c>
      <c r="R62">
        <f t="shared" si="4"/>
        <v>0</v>
      </c>
      <c r="S62">
        <v>1</v>
      </c>
      <c r="T62">
        <f t="shared" si="5"/>
        <v>-0.62912795020010481</v>
      </c>
      <c r="U62">
        <v>-0.97416379256557295</v>
      </c>
      <c r="V62">
        <f t="shared" si="6"/>
        <v>-0.34503584236546814</v>
      </c>
    </row>
    <row r="63" spans="1:22" x14ac:dyDescent="0.2">
      <c r="A63">
        <f t="shared" si="7"/>
        <v>62</v>
      </c>
      <c r="B63" s="2">
        <f t="shared" si="8"/>
        <v>33</v>
      </c>
      <c r="C63" s="27">
        <v>43331</v>
      </c>
      <c r="D63" s="28">
        <v>0.97910879629629621</v>
      </c>
      <c r="E63" s="29">
        <v>-8.17</v>
      </c>
      <c r="F63" s="29">
        <v>116.51</v>
      </c>
      <c r="G63" s="6">
        <v>4.7</v>
      </c>
      <c r="H63" s="5">
        <v>10</v>
      </c>
      <c r="I63" s="2" t="s">
        <v>20</v>
      </c>
      <c r="J63" s="8" t="s">
        <v>15</v>
      </c>
      <c r="K63">
        <v>770</v>
      </c>
      <c r="L63">
        <v>71.029525733797968</v>
      </c>
      <c r="M63">
        <v>71.730004363364344</v>
      </c>
      <c r="N63">
        <f t="shared" si="9"/>
        <v>0</v>
      </c>
      <c r="O63">
        <f t="shared" si="10"/>
        <v>1</v>
      </c>
      <c r="P63">
        <f t="shared" si="2"/>
        <v>0</v>
      </c>
      <c r="Q63">
        <f t="shared" si="3"/>
        <v>1</v>
      </c>
      <c r="R63">
        <f t="shared" si="4"/>
        <v>0</v>
      </c>
      <c r="S63">
        <v>1</v>
      </c>
      <c r="T63">
        <f t="shared" si="5"/>
        <v>-0.1249259039991749</v>
      </c>
      <c r="U63">
        <v>-0.90372181715141575</v>
      </c>
      <c r="V63">
        <f t="shared" si="6"/>
        <v>-0.77879591315224084</v>
      </c>
    </row>
    <row r="64" spans="1:22" x14ac:dyDescent="0.2">
      <c r="A64">
        <f t="shared" si="7"/>
        <v>63</v>
      </c>
      <c r="B64" s="2">
        <f t="shared" si="8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6">
        <v>4.7</v>
      </c>
      <c r="H64" s="5">
        <v>10</v>
      </c>
      <c r="I64" s="7" t="s">
        <v>20</v>
      </c>
      <c r="J64" s="8" t="s">
        <v>16</v>
      </c>
      <c r="K64">
        <v>1141</v>
      </c>
      <c r="L64">
        <v>75.443494535765566</v>
      </c>
      <c r="M64">
        <v>76.103356481617084</v>
      </c>
      <c r="N64">
        <f t="shared" si="9"/>
        <v>0</v>
      </c>
      <c r="O64">
        <f t="shared" si="10"/>
        <v>1</v>
      </c>
      <c r="P64">
        <f t="shared" si="2"/>
        <v>0</v>
      </c>
      <c r="Q64">
        <f t="shared" si="3"/>
        <v>1</v>
      </c>
      <c r="R64">
        <f t="shared" si="4"/>
        <v>0</v>
      </c>
      <c r="S64">
        <v>1</v>
      </c>
      <c r="T64">
        <f t="shared" si="5"/>
        <v>-0.29474485330189459</v>
      </c>
      <c r="U64">
        <v>-0.87896923738732546</v>
      </c>
      <c r="V64">
        <f t="shared" si="6"/>
        <v>-0.58422438408543087</v>
      </c>
    </row>
    <row r="65" spans="1:22" x14ac:dyDescent="0.2">
      <c r="A65">
        <f t="shared" si="7"/>
        <v>64</v>
      </c>
      <c r="B65" s="2">
        <f t="shared" si="8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6">
        <v>5.0999999999999996</v>
      </c>
      <c r="H65" s="5">
        <v>10</v>
      </c>
      <c r="I65" s="7" t="s">
        <v>20</v>
      </c>
      <c r="J65" s="8" t="s">
        <v>13</v>
      </c>
      <c r="K65">
        <v>290</v>
      </c>
      <c r="L65">
        <v>177.63849874835083</v>
      </c>
      <c r="M65">
        <v>177.91974662068245</v>
      </c>
      <c r="N65">
        <f t="shared" si="9"/>
        <v>0</v>
      </c>
      <c r="O65">
        <f t="shared" si="10"/>
        <v>1</v>
      </c>
      <c r="P65">
        <f t="shared" si="2"/>
        <v>0</v>
      </c>
      <c r="Q65">
        <f t="shared" si="3"/>
        <v>1</v>
      </c>
      <c r="R65">
        <f t="shared" si="4"/>
        <v>0</v>
      </c>
      <c r="S65">
        <v>0</v>
      </c>
      <c r="T65">
        <f t="shared" si="5"/>
        <v>7.5016816107612808E-2</v>
      </c>
      <c r="U65">
        <v>-1.3309897028930607E-2</v>
      </c>
      <c r="V65">
        <f t="shared" si="6"/>
        <v>-8.8326713136543417E-2</v>
      </c>
    </row>
    <row r="66" spans="1:22" x14ac:dyDescent="0.2">
      <c r="A66">
        <f t="shared" si="7"/>
        <v>65</v>
      </c>
      <c r="B66" s="2">
        <f t="shared" si="8"/>
        <v>34</v>
      </c>
      <c r="C66" s="27">
        <v>43332</v>
      </c>
      <c r="D66" s="28">
        <v>6.2870370370370368E-2</v>
      </c>
      <c r="E66" s="29">
        <v>-8.27</v>
      </c>
      <c r="F66" s="29">
        <v>116.73</v>
      </c>
      <c r="G66" s="6">
        <v>5.0999999999999996</v>
      </c>
      <c r="H66" s="29">
        <v>10</v>
      </c>
      <c r="I66" s="2" t="s">
        <v>20</v>
      </c>
      <c r="J66" s="8" t="s">
        <v>15</v>
      </c>
      <c r="K66">
        <v>770</v>
      </c>
      <c r="L66">
        <v>74.49554657433103</v>
      </c>
      <c r="M66">
        <v>75.163731010430311</v>
      </c>
      <c r="N66">
        <f t="shared" ref="N66:N97" si="11">IF(I66="normal",1,0)</f>
        <v>0</v>
      </c>
      <c r="O66">
        <f t="shared" ref="O66:O97" si="12">IF(I66="reverse",1,0)</f>
        <v>1</v>
      </c>
      <c r="P66">
        <f t="shared" si="2"/>
        <v>0</v>
      </c>
      <c r="Q66">
        <f t="shared" si="3"/>
        <v>1</v>
      </c>
      <c r="R66">
        <f t="shared" si="4"/>
        <v>0</v>
      </c>
      <c r="S66">
        <v>1</v>
      </c>
      <c r="T66">
        <f t="shared" si="5"/>
        <v>0.25905944042873791</v>
      </c>
      <c r="U66">
        <v>-0.67791387221225996</v>
      </c>
      <c r="V66">
        <f t="shared" si="6"/>
        <v>-0.93697331264099781</v>
      </c>
    </row>
    <row r="67" spans="1:22" x14ac:dyDescent="0.2">
      <c r="A67">
        <f t="shared" si="7"/>
        <v>66</v>
      </c>
      <c r="B67" s="2">
        <f t="shared" si="8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6">
        <v>5.0999999999999996</v>
      </c>
      <c r="H67" s="5">
        <v>10</v>
      </c>
      <c r="I67" s="7" t="s">
        <v>20</v>
      </c>
      <c r="J67" s="8" t="s">
        <v>18</v>
      </c>
      <c r="K67">
        <v>283</v>
      </c>
      <c r="L67">
        <v>79.652811637316844</v>
      </c>
      <c r="M67">
        <v>80.278081701856067</v>
      </c>
      <c r="N67">
        <f t="shared" si="11"/>
        <v>0</v>
      </c>
      <c r="O67">
        <f t="shared" si="12"/>
        <v>1</v>
      </c>
      <c r="P67">
        <f t="shared" ref="P67:P130" si="13">IF(I67="strike slip",1,0)</f>
        <v>0</v>
      </c>
      <c r="Q67">
        <f t="shared" ref="Q67:Q130" si="14">IF(G67&gt;$X$3,0,1)</f>
        <v>1</v>
      </c>
      <c r="R67">
        <f t="shared" ref="R67:R130" si="15">IF(G67&gt;$X$3,1,0)</f>
        <v>0</v>
      </c>
      <c r="S67">
        <v>0</v>
      </c>
      <c r="T67">
        <f t="shared" ref="T67:T130" si="16">$X$6+($X$7+$X$8*(G67-$X$2))*LOG10((SQRT((M67^2)+($X$9^2))/$X$4))-$X$10*(SQRT((M67^2)+($X$9^2))-$X$4)+Q67*$X$11*(G67-$X$3)+Q67*$X$12*((G67-$X$3)^2)+R67*$X$13*(G67-$X$3)+$X$14*LOG10(K67/$X$5)+$X$15*N67+$X$16*O67+$X$17*P67</f>
        <v>0.56150381714855446</v>
      </c>
      <c r="U67">
        <v>0.21631263206995019</v>
      </c>
      <c r="V67">
        <f t="shared" ref="V67:V130" si="17">U67-T67</f>
        <v>-0.34519118507860425</v>
      </c>
    </row>
    <row r="68" spans="1:22" x14ac:dyDescent="0.2">
      <c r="A68">
        <f t="shared" ref="A68:A131" si="18">A67+1</f>
        <v>67</v>
      </c>
      <c r="B68" s="2">
        <f t="shared" si="8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6">
        <v>5.0999999999999996</v>
      </c>
      <c r="H68" s="5">
        <v>10</v>
      </c>
      <c r="I68" s="7" t="s">
        <v>20</v>
      </c>
      <c r="J68" s="8" t="s">
        <v>16</v>
      </c>
      <c r="K68">
        <v>1141</v>
      </c>
      <c r="L68">
        <v>54.678992298396473</v>
      </c>
      <c r="M68">
        <v>55.585899280016157</v>
      </c>
      <c r="N68">
        <f t="shared" si="11"/>
        <v>0</v>
      </c>
      <c r="O68">
        <f t="shared" si="12"/>
        <v>1</v>
      </c>
      <c r="P68">
        <f t="shared" si="13"/>
        <v>0</v>
      </c>
      <c r="Q68">
        <f t="shared" si="14"/>
        <v>1</v>
      </c>
      <c r="R68">
        <f t="shared" si="15"/>
        <v>0</v>
      </c>
      <c r="S68">
        <v>0</v>
      </c>
      <c r="T68">
        <f t="shared" si="16"/>
        <v>0.30563564226803924</v>
      </c>
      <c r="U68">
        <v>-0.29965049394245757</v>
      </c>
      <c r="V68">
        <f t="shared" si="17"/>
        <v>-0.60528613621049687</v>
      </c>
    </row>
    <row r="69" spans="1:22" x14ac:dyDescent="0.2">
      <c r="A69">
        <f t="shared" si="18"/>
        <v>68</v>
      </c>
      <c r="B69" s="2">
        <f t="shared" si="8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6">
        <v>5</v>
      </c>
      <c r="H69" s="5">
        <v>10</v>
      </c>
      <c r="I69" s="7" t="s">
        <v>20</v>
      </c>
      <c r="J69" s="8" t="s">
        <v>13</v>
      </c>
      <c r="K69">
        <v>290</v>
      </c>
      <c r="L69">
        <v>206.86371328942161</v>
      </c>
      <c r="M69">
        <v>207.10527727677058</v>
      </c>
      <c r="N69">
        <f t="shared" si="11"/>
        <v>0</v>
      </c>
      <c r="O69">
        <f t="shared" si="12"/>
        <v>1</v>
      </c>
      <c r="P69">
        <f t="shared" si="13"/>
        <v>0</v>
      </c>
      <c r="Q69">
        <f t="shared" si="14"/>
        <v>1</v>
      </c>
      <c r="R69">
        <f t="shared" si="15"/>
        <v>0</v>
      </c>
      <c r="S69">
        <v>1</v>
      </c>
      <c r="T69">
        <f t="shared" si="16"/>
        <v>-0.11528162223309628</v>
      </c>
      <c r="U69">
        <v>-0.4565637858091966</v>
      </c>
      <c r="V69">
        <f t="shared" si="17"/>
        <v>-0.34128216357610031</v>
      </c>
    </row>
    <row r="70" spans="1:22" x14ac:dyDescent="0.2">
      <c r="A70">
        <f t="shared" si="18"/>
        <v>69</v>
      </c>
      <c r="B70" s="2">
        <f t="shared" si="8"/>
        <v>36</v>
      </c>
      <c r="C70" s="27">
        <v>43336</v>
      </c>
      <c r="D70" s="28">
        <v>4.763888888888889E-2</v>
      </c>
      <c r="E70" s="29">
        <v>-8.26</v>
      </c>
      <c r="F70" s="29">
        <v>116.14</v>
      </c>
      <c r="G70" s="6">
        <v>4.4000000000000004</v>
      </c>
      <c r="H70" s="29">
        <v>10</v>
      </c>
      <c r="I70" s="2" t="s">
        <v>20</v>
      </c>
      <c r="J70" s="8" t="s">
        <v>15</v>
      </c>
      <c r="K70">
        <v>770</v>
      </c>
      <c r="L70">
        <v>58.306907947928202</v>
      </c>
      <c r="M70">
        <v>59.158224402429227</v>
      </c>
      <c r="N70">
        <f t="shared" si="11"/>
        <v>0</v>
      </c>
      <c r="O70">
        <f t="shared" si="12"/>
        <v>1</v>
      </c>
      <c r="P70">
        <f t="shared" si="13"/>
        <v>0</v>
      </c>
      <c r="Q70">
        <f t="shared" si="14"/>
        <v>1</v>
      </c>
      <c r="R70">
        <f t="shared" si="15"/>
        <v>0</v>
      </c>
      <c r="S70">
        <v>1</v>
      </c>
      <c r="T70">
        <f t="shared" si="16"/>
        <v>-0.34539186789563314</v>
      </c>
      <c r="U70">
        <v>-0.8157923880146154</v>
      </c>
      <c r="V70">
        <f t="shared" si="17"/>
        <v>-0.47040052011898226</v>
      </c>
    </row>
    <row r="71" spans="1:22" x14ac:dyDescent="0.2">
      <c r="A71">
        <f t="shared" si="18"/>
        <v>70</v>
      </c>
      <c r="B71" s="2">
        <f t="shared" ref="B71:B134" si="19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6">
        <v>4.4000000000000004</v>
      </c>
      <c r="H71" s="5">
        <v>10</v>
      </c>
      <c r="I71" s="7" t="s">
        <v>20</v>
      </c>
      <c r="J71" s="8" t="s">
        <v>18</v>
      </c>
      <c r="K71">
        <v>283</v>
      </c>
      <c r="L71">
        <v>143.68082400490985</v>
      </c>
      <c r="M71">
        <v>144.02839715392892</v>
      </c>
      <c r="N71">
        <f t="shared" si="11"/>
        <v>0</v>
      </c>
      <c r="O71">
        <f t="shared" si="12"/>
        <v>1</v>
      </c>
      <c r="P71">
        <f t="shared" si="13"/>
        <v>0</v>
      </c>
      <c r="Q71">
        <f t="shared" si="14"/>
        <v>1</v>
      </c>
      <c r="R71">
        <f t="shared" si="15"/>
        <v>0</v>
      </c>
      <c r="S71">
        <v>1</v>
      </c>
      <c r="T71">
        <f t="shared" si="16"/>
        <v>-0.53645117906476592</v>
      </c>
      <c r="U71">
        <v>-0.94779790414103582</v>
      </c>
      <c r="V71">
        <f t="shared" si="17"/>
        <v>-0.4113467250762699</v>
      </c>
    </row>
    <row r="72" spans="1:22" x14ac:dyDescent="0.2">
      <c r="A72">
        <f t="shared" si="18"/>
        <v>71</v>
      </c>
      <c r="B72" s="2">
        <f t="shared" si="19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6">
        <v>4.4000000000000004</v>
      </c>
      <c r="H72" s="5">
        <v>10</v>
      </c>
      <c r="I72" s="7" t="s">
        <v>20</v>
      </c>
      <c r="J72" s="8" t="s">
        <v>16</v>
      </c>
      <c r="K72">
        <v>1141</v>
      </c>
      <c r="L72">
        <v>98.06698322263297</v>
      </c>
      <c r="M72">
        <v>98.575520279571322</v>
      </c>
      <c r="N72">
        <f t="shared" si="11"/>
        <v>0</v>
      </c>
      <c r="O72">
        <f t="shared" si="12"/>
        <v>1</v>
      </c>
      <c r="P72">
        <f t="shared" si="13"/>
        <v>0</v>
      </c>
      <c r="Q72">
        <f t="shared" si="14"/>
        <v>1</v>
      </c>
      <c r="R72">
        <f t="shared" si="15"/>
        <v>0</v>
      </c>
      <c r="S72">
        <v>1</v>
      </c>
      <c r="T72">
        <f t="shared" si="16"/>
        <v>-0.78544654649759682</v>
      </c>
      <c r="U72">
        <v>-1.4462272120055901</v>
      </c>
      <c r="V72">
        <f t="shared" si="17"/>
        <v>-0.6607806655079933</v>
      </c>
    </row>
    <row r="73" spans="1:22" x14ac:dyDescent="0.2">
      <c r="A73">
        <f t="shared" si="18"/>
        <v>72</v>
      </c>
      <c r="B73" s="2">
        <f t="shared" si="19"/>
        <v>37</v>
      </c>
      <c r="C73" s="27">
        <v>43337</v>
      </c>
      <c r="D73" s="28">
        <v>0.46883101851851849</v>
      </c>
      <c r="E73" s="29">
        <v>-8.2799999999999994</v>
      </c>
      <c r="F73" s="29">
        <v>116.16</v>
      </c>
      <c r="G73" s="6">
        <v>3.5</v>
      </c>
      <c r="H73" s="29">
        <v>10</v>
      </c>
      <c r="I73" s="2" t="s">
        <v>20</v>
      </c>
      <c r="J73" s="8" t="s">
        <v>15</v>
      </c>
      <c r="K73">
        <v>770</v>
      </c>
      <c r="L73">
        <v>55.597799097160255</v>
      </c>
      <c r="M73">
        <v>56.489957199914691</v>
      </c>
      <c r="N73">
        <f t="shared" si="11"/>
        <v>0</v>
      </c>
      <c r="O73">
        <f t="shared" si="12"/>
        <v>1</v>
      </c>
      <c r="P73">
        <f t="shared" si="13"/>
        <v>0</v>
      </c>
      <c r="Q73">
        <f t="shared" si="14"/>
        <v>1</v>
      </c>
      <c r="R73">
        <f t="shared" si="15"/>
        <v>0</v>
      </c>
      <c r="S73">
        <v>1</v>
      </c>
      <c r="T73">
        <f t="shared" si="16"/>
        <v>-1.4628974306963656</v>
      </c>
      <c r="U73">
        <v>-1.7185875261143262</v>
      </c>
      <c r="V73">
        <f t="shared" si="17"/>
        <v>-0.25569009541796062</v>
      </c>
    </row>
    <row r="74" spans="1:22" x14ac:dyDescent="0.2">
      <c r="A74">
        <f t="shared" si="18"/>
        <v>73</v>
      </c>
      <c r="B74" s="2">
        <f t="shared" si="19"/>
        <v>38</v>
      </c>
      <c r="C74" s="27">
        <v>43338</v>
      </c>
      <c r="D74" s="28">
        <v>6.4780092592592597E-2</v>
      </c>
      <c r="E74" s="29">
        <v>-8.5500000000000007</v>
      </c>
      <c r="F74" s="29">
        <v>116.93</v>
      </c>
      <c r="G74" s="6">
        <v>5.4</v>
      </c>
      <c r="H74" s="29">
        <v>11</v>
      </c>
      <c r="I74" s="2" t="s">
        <v>20</v>
      </c>
      <c r="J74" s="8" t="s">
        <v>15</v>
      </c>
      <c r="K74">
        <v>770</v>
      </c>
      <c r="L74">
        <v>76.217387166239277</v>
      </c>
      <c r="M74">
        <v>77.007078287962699</v>
      </c>
      <c r="N74">
        <f t="shared" si="11"/>
        <v>0</v>
      </c>
      <c r="O74">
        <f t="shared" si="12"/>
        <v>1</v>
      </c>
      <c r="P74">
        <f t="shared" si="13"/>
        <v>0</v>
      </c>
      <c r="Q74">
        <f t="shared" si="14"/>
        <v>1</v>
      </c>
      <c r="R74">
        <f t="shared" si="15"/>
        <v>0</v>
      </c>
      <c r="S74">
        <v>0</v>
      </c>
      <c r="T74">
        <f t="shared" si="16"/>
        <v>0.52678909873532886</v>
      </c>
      <c r="U74">
        <v>-0.15278663487350538</v>
      </c>
      <c r="V74">
        <f t="shared" si="17"/>
        <v>-0.67957573360883428</v>
      </c>
    </row>
    <row r="75" spans="1:22" x14ac:dyDescent="0.2">
      <c r="A75">
        <f t="shared" si="18"/>
        <v>74</v>
      </c>
      <c r="B75" s="2">
        <f t="shared" si="19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6">
        <v>5.4</v>
      </c>
      <c r="H75" s="5">
        <v>11</v>
      </c>
      <c r="I75" s="7" t="s">
        <v>20</v>
      </c>
      <c r="J75" s="8" t="s">
        <v>18</v>
      </c>
      <c r="K75">
        <v>283</v>
      </c>
      <c r="L75">
        <v>54.101593478657179</v>
      </c>
      <c r="M75">
        <v>55.208535725283284</v>
      </c>
      <c r="N75">
        <f t="shared" si="11"/>
        <v>0</v>
      </c>
      <c r="O75">
        <f t="shared" si="12"/>
        <v>1</v>
      </c>
      <c r="P75">
        <f t="shared" si="13"/>
        <v>0</v>
      </c>
      <c r="Q75">
        <f t="shared" si="14"/>
        <v>1</v>
      </c>
      <c r="R75">
        <f t="shared" si="15"/>
        <v>0</v>
      </c>
      <c r="S75">
        <v>0</v>
      </c>
      <c r="T75">
        <f t="shared" si="16"/>
        <v>1.0684868379031049</v>
      </c>
      <c r="U75">
        <v>0.95107120671926382</v>
      </c>
      <c r="V75">
        <f t="shared" si="17"/>
        <v>-0.11741563118384113</v>
      </c>
    </row>
    <row r="76" spans="1:22" x14ac:dyDescent="0.2">
      <c r="A76">
        <f t="shared" si="18"/>
        <v>75</v>
      </c>
      <c r="B76" s="2">
        <f t="shared" si="19"/>
        <v>38</v>
      </c>
      <c r="C76" s="3">
        <v>43338</v>
      </c>
      <c r="D76" s="4">
        <v>6.4780092592592597E-2</v>
      </c>
      <c r="E76" s="29">
        <v>-8.5500000000000007</v>
      </c>
      <c r="F76" s="29">
        <v>116.93</v>
      </c>
      <c r="G76" s="6">
        <v>5.4</v>
      </c>
      <c r="H76" s="5">
        <v>11</v>
      </c>
      <c r="I76" s="7" t="s">
        <v>20</v>
      </c>
      <c r="J76" s="8" t="s">
        <v>16</v>
      </c>
      <c r="K76">
        <v>1141</v>
      </c>
      <c r="L76">
        <v>21.567600659509985</v>
      </c>
      <c r="M76">
        <v>24.210770293571734</v>
      </c>
      <c r="N76">
        <f t="shared" si="11"/>
        <v>0</v>
      </c>
      <c r="O76">
        <f t="shared" si="12"/>
        <v>1</v>
      </c>
      <c r="P76">
        <f t="shared" si="13"/>
        <v>0</v>
      </c>
      <c r="Q76">
        <f t="shared" si="14"/>
        <v>1</v>
      </c>
      <c r="R76">
        <f t="shared" si="15"/>
        <v>0</v>
      </c>
      <c r="S76">
        <v>0</v>
      </c>
      <c r="T76">
        <f t="shared" si="16"/>
        <v>1.0834921092841852</v>
      </c>
      <c r="U76">
        <v>0.5501514499696365</v>
      </c>
      <c r="V76">
        <f t="shared" si="17"/>
        <v>-0.53334065931454866</v>
      </c>
    </row>
    <row r="77" spans="1:22" x14ac:dyDescent="0.2">
      <c r="A77">
        <f t="shared" si="18"/>
        <v>76</v>
      </c>
      <c r="B77" s="2">
        <f t="shared" si="19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6">
        <v>4.8</v>
      </c>
      <c r="H77" s="5">
        <v>10</v>
      </c>
      <c r="I77" s="7" t="s">
        <v>20</v>
      </c>
      <c r="J77" s="8" t="s">
        <v>18</v>
      </c>
      <c r="K77">
        <v>283</v>
      </c>
      <c r="L77">
        <v>150.88889346446217</v>
      </c>
      <c r="M77">
        <v>151.21990004933153</v>
      </c>
      <c r="N77">
        <f t="shared" si="11"/>
        <v>0</v>
      </c>
      <c r="O77">
        <f t="shared" si="12"/>
        <v>1</v>
      </c>
      <c r="P77">
        <f t="shared" si="13"/>
        <v>0</v>
      </c>
      <c r="Q77">
        <f t="shared" si="14"/>
        <v>1</v>
      </c>
      <c r="R77">
        <f t="shared" si="15"/>
        <v>0</v>
      </c>
      <c r="S77">
        <v>1</v>
      </c>
      <c r="T77">
        <f t="shared" si="16"/>
        <v>-0.12367504755872775</v>
      </c>
      <c r="U77">
        <v>-0.45435922635666914</v>
      </c>
      <c r="V77">
        <f t="shared" si="17"/>
        <v>-0.33068417879794137</v>
      </c>
    </row>
    <row r="78" spans="1:22" x14ac:dyDescent="0.2">
      <c r="A78">
        <f t="shared" si="18"/>
        <v>77</v>
      </c>
      <c r="B78" s="2">
        <f t="shared" si="19"/>
        <v>39</v>
      </c>
      <c r="C78" s="3">
        <v>43343</v>
      </c>
      <c r="D78" s="4">
        <v>0.1092013888888889</v>
      </c>
      <c r="E78" s="29">
        <v>-8.3699999999999992</v>
      </c>
      <c r="F78" s="29">
        <v>116.06</v>
      </c>
      <c r="G78" s="6">
        <v>4.8</v>
      </c>
      <c r="H78" s="5">
        <v>10</v>
      </c>
      <c r="I78" s="7" t="s">
        <v>20</v>
      </c>
      <c r="J78" s="8" t="s">
        <v>16</v>
      </c>
      <c r="K78">
        <v>1141</v>
      </c>
      <c r="L78">
        <v>100.06290501663518</v>
      </c>
      <c r="M78">
        <v>100.56134923701131</v>
      </c>
      <c r="N78">
        <f t="shared" si="11"/>
        <v>0</v>
      </c>
      <c r="O78">
        <f t="shared" si="12"/>
        <v>1</v>
      </c>
      <c r="P78">
        <f t="shared" si="13"/>
        <v>0</v>
      </c>
      <c r="Q78">
        <f t="shared" si="14"/>
        <v>1</v>
      </c>
      <c r="R78">
        <f t="shared" si="15"/>
        <v>0</v>
      </c>
      <c r="S78">
        <v>1</v>
      </c>
      <c r="T78">
        <f t="shared" si="16"/>
        <v>-0.35508406512776025</v>
      </c>
      <c r="U78">
        <v>-0.85494534909208209</v>
      </c>
      <c r="V78">
        <f t="shared" si="17"/>
        <v>-0.49986128396432183</v>
      </c>
    </row>
    <row r="79" spans="1:22" x14ac:dyDescent="0.2">
      <c r="A79">
        <f t="shared" si="18"/>
        <v>78</v>
      </c>
      <c r="B79" s="2">
        <f t="shared" si="19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6">
        <v>4</v>
      </c>
      <c r="H79" s="5">
        <v>10</v>
      </c>
      <c r="I79" s="7" t="s">
        <v>20</v>
      </c>
      <c r="J79" s="8" t="s">
        <v>13</v>
      </c>
      <c r="K79">
        <v>290</v>
      </c>
      <c r="L79">
        <v>167.64476863286811</v>
      </c>
      <c r="M79">
        <v>167.94275349049116</v>
      </c>
      <c r="N79">
        <f t="shared" si="11"/>
        <v>0</v>
      </c>
      <c r="O79">
        <f t="shared" si="12"/>
        <v>1</v>
      </c>
      <c r="P79">
        <f t="shared" si="13"/>
        <v>0</v>
      </c>
      <c r="Q79">
        <f t="shared" si="14"/>
        <v>1</v>
      </c>
      <c r="R79">
        <f t="shared" si="15"/>
        <v>0</v>
      </c>
      <c r="S79">
        <v>0</v>
      </c>
      <c r="T79">
        <f t="shared" si="16"/>
        <v>-1.1195458821406155</v>
      </c>
      <c r="U79">
        <v>-1.3255482167214538</v>
      </c>
      <c r="V79">
        <f t="shared" si="17"/>
        <v>-0.20600233458083839</v>
      </c>
    </row>
    <row r="80" spans="1:22" x14ac:dyDescent="0.2">
      <c r="A80">
        <f t="shared" si="18"/>
        <v>79</v>
      </c>
      <c r="B80" s="2">
        <f t="shared" si="19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6">
        <v>4</v>
      </c>
      <c r="H80" s="5">
        <v>10</v>
      </c>
      <c r="I80" s="7" t="s">
        <v>20</v>
      </c>
      <c r="J80" s="8" t="s">
        <v>16</v>
      </c>
      <c r="K80">
        <v>1141</v>
      </c>
      <c r="L80">
        <v>63.28816253904116</v>
      </c>
      <c r="M80">
        <v>64.073329221822803</v>
      </c>
      <c r="N80">
        <f t="shared" si="11"/>
        <v>0</v>
      </c>
      <c r="O80">
        <f t="shared" si="12"/>
        <v>1</v>
      </c>
      <c r="P80">
        <f t="shared" si="13"/>
        <v>0</v>
      </c>
      <c r="Q80">
        <f t="shared" si="14"/>
        <v>1</v>
      </c>
      <c r="R80">
        <f t="shared" si="15"/>
        <v>0</v>
      </c>
      <c r="S80">
        <v>0</v>
      </c>
      <c r="T80">
        <f t="shared" si="16"/>
        <v>-1.0108658168318458</v>
      </c>
      <c r="U80">
        <v>-1.3648024380653581</v>
      </c>
      <c r="V80">
        <f t="shared" si="17"/>
        <v>-0.35393662123351222</v>
      </c>
    </row>
    <row r="81" spans="1:22" x14ac:dyDescent="0.2">
      <c r="A81">
        <f t="shared" si="18"/>
        <v>80</v>
      </c>
      <c r="B81" s="2">
        <f t="shared" si="19"/>
        <v>41</v>
      </c>
      <c r="C81" s="34">
        <v>43346</v>
      </c>
      <c r="D81" s="35">
        <v>0.8206134259259259</v>
      </c>
      <c r="E81" s="36">
        <v>-8.2799999999999994</v>
      </c>
      <c r="F81" s="36">
        <v>116.12</v>
      </c>
      <c r="G81" s="6">
        <v>3.8</v>
      </c>
      <c r="H81" s="36">
        <v>12</v>
      </c>
      <c r="I81" s="2" t="s">
        <v>20</v>
      </c>
      <c r="J81" s="8" t="s">
        <v>15</v>
      </c>
      <c r="K81">
        <v>770</v>
      </c>
      <c r="L81">
        <v>56.817893431278847</v>
      </c>
      <c r="M81">
        <v>58.071275291387906</v>
      </c>
      <c r="N81">
        <f t="shared" si="11"/>
        <v>0</v>
      </c>
      <c r="O81">
        <f t="shared" si="12"/>
        <v>1</v>
      </c>
      <c r="P81">
        <f t="shared" si="13"/>
        <v>0</v>
      </c>
      <c r="Q81">
        <f t="shared" si="14"/>
        <v>1</v>
      </c>
      <c r="R81">
        <f t="shared" si="15"/>
        <v>0</v>
      </c>
      <c r="S81">
        <v>1</v>
      </c>
      <c r="T81">
        <f t="shared" si="16"/>
        <v>-1.0747669020071098</v>
      </c>
      <c r="U81">
        <v>-1.5417356804983786</v>
      </c>
      <c r="V81">
        <f t="shared" si="17"/>
        <v>-0.46696877849126883</v>
      </c>
    </row>
    <row r="82" spans="1:22" x14ac:dyDescent="0.2">
      <c r="A82">
        <f t="shared" si="18"/>
        <v>81</v>
      </c>
      <c r="B82" s="2">
        <f t="shared" si="19"/>
        <v>42</v>
      </c>
      <c r="C82" s="34">
        <v>43347</v>
      </c>
      <c r="D82" s="35">
        <v>0.43399305555794854</v>
      </c>
      <c r="E82" s="5">
        <v>-8.49</v>
      </c>
      <c r="F82" s="5">
        <v>116.93</v>
      </c>
      <c r="G82" s="6">
        <v>3.8</v>
      </c>
      <c r="H82" s="5">
        <v>10</v>
      </c>
      <c r="I82" s="2" t="s">
        <v>20</v>
      </c>
      <c r="J82" s="8" t="s">
        <v>15</v>
      </c>
      <c r="K82">
        <v>770</v>
      </c>
      <c r="L82">
        <v>78.572321998070137</v>
      </c>
      <c r="M82">
        <v>79.206122138180817</v>
      </c>
      <c r="N82">
        <f t="shared" si="11"/>
        <v>0</v>
      </c>
      <c r="O82">
        <f t="shared" si="12"/>
        <v>1</v>
      </c>
      <c r="P82">
        <f t="shared" si="13"/>
        <v>0</v>
      </c>
      <c r="Q82">
        <f t="shared" si="14"/>
        <v>1</v>
      </c>
      <c r="R82">
        <f t="shared" si="15"/>
        <v>0</v>
      </c>
      <c r="S82">
        <v>0</v>
      </c>
      <c r="T82">
        <f t="shared" si="16"/>
        <v>-1.2601356297768174</v>
      </c>
      <c r="U82">
        <v>-1.7911948724056319</v>
      </c>
      <c r="V82">
        <f t="shared" si="17"/>
        <v>-0.53105924262881454</v>
      </c>
    </row>
    <row r="83" spans="1:22" x14ac:dyDescent="0.2">
      <c r="A83">
        <f t="shared" si="18"/>
        <v>82</v>
      </c>
      <c r="B83" s="2">
        <f t="shared" si="19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6">
        <v>5</v>
      </c>
      <c r="H83" s="5">
        <v>10</v>
      </c>
      <c r="I83" s="7" t="s">
        <v>20</v>
      </c>
      <c r="J83" s="8" t="s">
        <v>13</v>
      </c>
      <c r="K83">
        <v>290</v>
      </c>
      <c r="L83">
        <v>148.74898529807919</v>
      </c>
      <c r="M83">
        <v>149.08474310675851</v>
      </c>
      <c r="N83">
        <f t="shared" si="11"/>
        <v>0</v>
      </c>
      <c r="O83">
        <f t="shared" si="12"/>
        <v>1</v>
      </c>
      <c r="P83">
        <f t="shared" si="13"/>
        <v>0</v>
      </c>
      <c r="Q83">
        <f t="shared" si="14"/>
        <v>1</v>
      </c>
      <c r="R83">
        <f t="shared" si="15"/>
        <v>0</v>
      </c>
      <c r="S83">
        <v>0</v>
      </c>
      <c r="T83">
        <f t="shared" si="16"/>
        <v>8.2249830010497973E-2</v>
      </c>
      <c r="U83">
        <v>-9.3937487157440505E-2</v>
      </c>
      <c r="V83">
        <f t="shared" si="17"/>
        <v>-0.17618731716793848</v>
      </c>
    </row>
    <row r="84" spans="1:22" x14ac:dyDescent="0.2">
      <c r="A84">
        <f t="shared" si="18"/>
        <v>83</v>
      </c>
      <c r="B84" s="2">
        <f t="shared" si="19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6">
        <v>4.9000000000000004</v>
      </c>
      <c r="H84" s="5">
        <v>10</v>
      </c>
      <c r="I84" s="7" t="s">
        <v>20</v>
      </c>
      <c r="J84" s="8" t="s">
        <v>14</v>
      </c>
      <c r="K84">
        <v>210</v>
      </c>
      <c r="L84">
        <v>70.821365178451273</v>
      </c>
      <c r="M84">
        <v>71.523882485080122</v>
      </c>
      <c r="N84">
        <f t="shared" si="11"/>
        <v>0</v>
      </c>
      <c r="O84">
        <f t="shared" si="12"/>
        <v>1</v>
      </c>
      <c r="P84">
        <f t="shared" si="13"/>
        <v>0</v>
      </c>
      <c r="Q84">
        <f t="shared" si="14"/>
        <v>1</v>
      </c>
      <c r="R84">
        <f t="shared" si="15"/>
        <v>0</v>
      </c>
      <c r="S84">
        <v>1</v>
      </c>
      <c r="T84">
        <f t="shared" si="16"/>
        <v>0.53178433328326657</v>
      </c>
      <c r="U84">
        <v>-0.37598781826450106</v>
      </c>
      <c r="V84">
        <f t="shared" si="17"/>
        <v>-0.90777215154776769</v>
      </c>
    </row>
    <row r="85" spans="1:22" x14ac:dyDescent="0.2">
      <c r="A85">
        <f t="shared" si="18"/>
        <v>84</v>
      </c>
      <c r="B85" s="2">
        <f t="shared" si="19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6">
        <v>4.9000000000000004</v>
      </c>
      <c r="H85" s="5">
        <v>10</v>
      </c>
      <c r="I85" s="7" t="s">
        <v>20</v>
      </c>
      <c r="J85" s="8" t="s">
        <v>18</v>
      </c>
      <c r="K85">
        <v>283</v>
      </c>
      <c r="L85">
        <v>87.409156199622487</v>
      </c>
      <c r="M85">
        <v>87.979319089942962</v>
      </c>
      <c r="N85">
        <f t="shared" si="11"/>
        <v>0</v>
      </c>
      <c r="O85">
        <f t="shared" si="12"/>
        <v>1</v>
      </c>
      <c r="P85">
        <f t="shared" si="13"/>
        <v>0</v>
      </c>
      <c r="Q85">
        <f t="shared" si="14"/>
        <v>1</v>
      </c>
      <c r="R85">
        <f t="shared" si="15"/>
        <v>0</v>
      </c>
      <c r="S85">
        <v>0</v>
      </c>
      <c r="T85">
        <f t="shared" si="16"/>
        <v>0.30565784606257801</v>
      </c>
      <c r="U85">
        <v>-6.0942170508176956E-2</v>
      </c>
      <c r="V85">
        <f t="shared" si="17"/>
        <v>-0.36660001657075497</v>
      </c>
    </row>
    <row r="86" spans="1:22" x14ac:dyDescent="0.2">
      <c r="A86">
        <f t="shared" si="18"/>
        <v>85</v>
      </c>
      <c r="B86" s="2">
        <f t="shared" si="19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6">
        <v>4.7</v>
      </c>
      <c r="H86" s="5">
        <v>5</v>
      </c>
      <c r="I86" s="7" t="s">
        <v>20</v>
      </c>
      <c r="J86" s="8" t="s">
        <v>13</v>
      </c>
      <c r="K86">
        <v>290</v>
      </c>
      <c r="L86">
        <v>196.8111840223722</v>
      </c>
      <c r="M86">
        <v>196.87468642841836</v>
      </c>
      <c r="N86">
        <f t="shared" si="11"/>
        <v>0</v>
      </c>
      <c r="O86">
        <f t="shared" si="12"/>
        <v>1</v>
      </c>
      <c r="P86">
        <f t="shared" si="13"/>
        <v>0</v>
      </c>
      <c r="Q86">
        <f t="shared" si="14"/>
        <v>1</v>
      </c>
      <c r="R86">
        <f t="shared" si="15"/>
        <v>0</v>
      </c>
      <c r="S86">
        <v>1</v>
      </c>
      <c r="T86">
        <f t="shared" si="16"/>
        <v>-0.39708960784759112</v>
      </c>
      <c r="U86">
        <v>-0.73251047674031267</v>
      </c>
      <c r="V86">
        <f t="shared" si="17"/>
        <v>-0.33542086889272155</v>
      </c>
    </row>
    <row r="87" spans="1:22" x14ac:dyDescent="0.2">
      <c r="A87">
        <f t="shared" si="18"/>
        <v>86</v>
      </c>
      <c r="B87" s="2">
        <f t="shared" si="19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6">
        <v>4.7</v>
      </c>
      <c r="H87" s="5">
        <v>5</v>
      </c>
      <c r="I87" s="7" t="s">
        <v>20</v>
      </c>
      <c r="J87" s="8" t="s">
        <v>14</v>
      </c>
      <c r="K87">
        <v>210</v>
      </c>
      <c r="L87">
        <v>71.928133474305866</v>
      </c>
      <c r="M87">
        <v>72.101708614273207</v>
      </c>
      <c r="N87">
        <f t="shared" si="11"/>
        <v>0</v>
      </c>
      <c r="O87">
        <f t="shared" si="12"/>
        <v>1</v>
      </c>
      <c r="P87">
        <f t="shared" si="13"/>
        <v>0</v>
      </c>
      <c r="Q87">
        <f t="shared" si="14"/>
        <v>1</v>
      </c>
      <c r="R87">
        <f t="shared" si="15"/>
        <v>0</v>
      </c>
      <c r="S87">
        <v>1</v>
      </c>
      <c r="T87">
        <f t="shared" si="16"/>
        <v>0.31585108438796211</v>
      </c>
      <c r="U87">
        <v>-0.38948891015636961</v>
      </c>
      <c r="V87">
        <f t="shared" si="17"/>
        <v>-0.70533999454433172</v>
      </c>
    </row>
    <row r="88" spans="1:22" x14ac:dyDescent="0.2">
      <c r="A88">
        <f t="shared" si="18"/>
        <v>87</v>
      </c>
      <c r="B88" s="2">
        <f t="shared" si="19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6">
        <v>4.7</v>
      </c>
      <c r="H88" s="5">
        <v>5</v>
      </c>
      <c r="I88" s="7" t="s">
        <v>20</v>
      </c>
      <c r="J88" s="8" t="s">
        <v>18</v>
      </c>
      <c r="K88">
        <v>283</v>
      </c>
      <c r="L88">
        <v>100.73119085035158</v>
      </c>
      <c r="M88">
        <v>100.85520715426622</v>
      </c>
      <c r="N88">
        <f t="shared" si="11"/>
        <v>0</v>
      </c>
      <c r="O88">
        <f t="shared" si="12"/>
        <v>1</v>
      </c>
      <c r="P88">
        <f t="shared" si="13"/>
        <v>0</v>
      </c>
      <c r="Q88">
        <f t="shared" si="14"/>
        <v>1</v>
      </c>
      <c r="R88">
        <f t="shared" si="15"/>
        <v>0</v>
      </c>
      <c r="S88">
        <v>1</v>
      </c>
      <c r="T88">
        <f t="shared" si="16"/>
        <v>1.2709149455966198E-2</v>
      </c>
      <c r="U88">
        <v>-0.41815121038267233</v>
      </c>
      <c r="V88">
        <f t="shared" si="17"/>
        <v>-0.43086035983863852</v>
      </c>
    </row>
    <row r="89" spans="1:22" x14ac:dyDescent="0.2">
      <c r="A89">
        <f t="shared" si="18"/>
        <v>88</v>
      </c>
      <c r="B89" s="2">
        <f t="shared" si="19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6">
        <v>4.9000000000000004</v>
      </c>
      <c r="H89" s="5">
        <v>10</v>
      </c>
      <c r="I89" s="7" t="s">
        <v>20</v>
      </c>
      <c r="J89" s="8" t="s">
        <v>13</v>
      </c>
      <c r="K89">
        <v>290</v>
      </c>
      <c r="L89">
        <v>193.95907906707598</v>
      </c>
      <c r="M89">
        <v>194.21669431989679</v>
      </c>
      <c r="N89">
        <f t="shared" si="11"/>
        <v>0</v>
      </c>
      <c r="O89">
        <f t="shared" si="12"/>
        <v>1</v>
      </c>
      <c r="P89">
        <f t="shared" si="13"/>
        <v>0</v>
      </c>
      <c r="Q89">
        <f t="shared" si="14"/>
        <v>1</v>
      </c>
      <c r="R89">
        <f t="shared" si="15"/>
        <v>0</v>
      </c>
      <c r="S89">
        <v>0</v>
      </c>
      <c r="T89">
        <f t="shared" si="16"/>
        <v>-0.17820930100821247</v>
      </c>
      <c r="U89">
        <v>-0.64204130374137802</v>
      </c>
      <c r="V89">
        <f t="shared" si="17"/>
        <v>-0.46383200273316555</v>
      </c>
    </row>
    <row r="90" spans="1:22" x14ac:dyDescent="0.2">
      <c r="A90">
        <f t="shared" si="18"/>
        <v>89</v>
      </c>
      <c r="B90" s="2">
        <f t="shared" si="19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6">
        <v>4.9000000000000004</v>
      </c>
      <c r="H90" s="5">
        <v>10</v>
      </c>
      <c r="I90" s="7" t="s">
        <v>20</v>
      </c>
      <c r="J90" s="8" t="s">
        <v>14</v>
      </c>
      <c r="K90">
        <v>210</v>
      </c>
      <c r="L90">
        <v>71.45004970385618</v>
      </c>
      <c r="M90">
        <v>72.146445530486943</v>
      </c>
      <c r="N90">
        <f t="shared" si="11"/>
        <v>0</v>
      </c>
      <c r="O90">
        <f t="shared" si="12"/>
        <v>1</v>
      </c>
      <c r="P90">
        <f t="shared" si="13"/>
        <v>0</v>
      </c>
      <c r="Q90">
        <f t="shared" si="14"/>
        <v>1</v>
      </c>
      <c r="R90">
        <f t="shared" si="15"/>
        <v>0</v>
      </c>
      <c r="S90">
        <v>1</v>
      </c>
      <c r="T90">
        <f t="shared" si="16"/>
        <v>0.52658802305468089</v>
      </c>
      <c r="U90">
        <v>-0.36796491460387126</v>
      </c>
      <c r="V90">
        <f t="shared" si="17"/>
        <v>-0.89455293765855215</v>
      </c>
    </row>
    <row r="91" spans="1:22" x14ac:dyDescent="0.2">
      <c r="A91">
        <f t="shared" si="18"/>
        <v>90</v>
      </c>
      <c r="B91" s="2">
        <f t="shared" si="19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6">
        <v>4.9000000000000004</v>
      </c>
      <c r="H91" s="5">
        <v>10</v>
      </c>
      <c r="I91" s="7" t="s">
        <v>20</v>
      </c>
      <c r="J91" s="8" t="s">
        <v>18</v>
      </c>
      <c r="K91">
        <v>283</v>
      </c>
      <c r="L91">
        <v>97.398208788098572</v>
      </c>
      <c r="M91">
        <v>97.910219462168712</v>
      </c>
      <c r="N91">
        <f t="shared" si="11"/>
        <v>0</v>
      </c>
      <c r="O91">
        <f t="shared" si="12"/>
        <v>1</v>
      </c>
      <c r="P91">
        <f t="shared" si="13"/>
        <v>0</v>
      </c>
      <c r="Q91">
        <f t="shared" si="14"/>
        <v>1</v>
      </c>
      <c r="R91">
        <f t="shared" si="15"/>
        <v>0</v>
      </c>
      <c r="S91">
        <v>0</v>
      </c>
      <c r="T91">
        <f t="shared" si="16"/>
        <v>0.24147424142680557</v>
      </c>
      <c r="U91">
        <v>-4.2483822719553435E-2</v>
      </c>
      <c r="V91">
        <f t="shared" si="17"/>
        <v>-0.28395806414635899</v>
      </c>
    </row>
    <row r="92" spans="1:22" x14ac:dyDescent="0.2">
      <c r="A92">
        <f t="shared" si="18"/>
        <v>91</v>
      </c>
      <c r="B92" s="2">
        <f t="shared" si="19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6">
        <v>4.5</v>
      </c>
      <c r="H92" s="5">
        <v>10</v>
      </c>
      <c r="I92" s="7" t="s">
        <v>20</v>
      </c>
      <c r="J92" s="8" t="s">
        <v>13</v>
      </c>
      <c r="K92">
        <v>290</v>
      </c>
      <c r="L92">
        <v>210.08629900607102</v>
      </c>
      <c r="M92">
        <v>210.32416178382425</v>
      </c>
      <c r="N92">
        <f t="shared" si="11"/>
        <v>0</v>
      </c>
      <c r="O92">
        <f t="shared" si="12"/>
        <v>1</v>
      </c>
      <c r="P92">
        <f t="shared" si="13"/>
        <v>0</v>
      </c>
      <c r="Q92">
        <f t="shared" si="14"/>
        <v>1</v>
      </c>
      <c r="R92">
        <f t="shared" si="15"/>
        <v>0</v>
      </c>
      <c r="S92">
        <v>1</v>
      </c>
      <c r="T92">
        <f t="shared" si="16"/>
        <v>-0.65763264841159386</v>
      </c>
      <c r="U92">
        <v>-0.60167548816812633</v>
      </c>
      <c r="V92">
        <f t="shared" si="17"/>
        <v>5.595716024346753E-2</v>
      </c>
    </row>
    <row r="93" spans="1:22" x14ac:dyDescent="0.2">
      <c r="A93">
        <f t="shared" si="18"/>
        <v>92</v>
      </c>
      <c r="B93" s="2">
        <f t="shared" si="19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6">
        <v>4.5</v>
      </c>
      <c r="H93" s="5">
        <v>10</v>
      </c>
      <c r="I93" s="7" t="s">
        <v>20</v>
      </c>
      <c r="J93" s="8" t="s">
        <v>18</v>
      </c>
      <c r="K93">
        <v>283</v>
      </c>
      <c r="L93">
        <v>113.49793514390502</v>
      </c>
      <c r="M93">
        <v>113.9376201345722</v>
      </c>
      <c r="N93">
        <f t="shared" si="11"/>
        <v>0</v>
      </c>
      <c r="O93">
        <f t="shared" si="12"/>
        <v>1</v>
      </c>
      <c r="P93">
        <f t="shared" si="13"/>
        <v>0</v>
      </c>
      <c r="Q93">
        <f t="shared" si="14"/>
        <v>1</v>
      </c>
      <c r="R93">
        <f t="shared" si="15"/>
        <v>0</v>
      </c>
      <c r="S93">
        <v>1</v>
      </c>
      <c r="T93">
        <f t="shared" si="16"/>
        <v>-0.2815717647540969</v>
      </c>
      <c r="U93">
        <v>-0.3301757852609884</v>
      </c>
      <c r="V93">
        <f t="shared" si="17"/>
        <v>-4.8604020506891499E-2</v>
      </c>
    </row>
    <row r="94" spans="1:22" x14ac:dyDescent="0.2">
      <c r="A94">
        <f t="shared" si="18"/>
        <v>93</v>
      </c>
      <c r="B94" s="2">
        <f t="shared" si="19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6">
        <v>3.8</v>
      </c>
      <c r="H94" s="5">
        <v>10</v>
      </c>
      <c r="I94" s="7" t="s">
        <v>20</v>
      </c>
      <c r="J94" s="8" t="s">
        <v>14</v>
      </c>
      <c r="K94">
        <v>210</v>
      </c>
      <c r="L94">
        <v>28.931001680991574</v>
      </c>
      <c r="M94">
        <v>30.610502417724824</v>
      </c>
      <c r="N94">
        <f t="shared" si="11"/>
        <v>0</v>
      </c>
      <c r="O94">
        <f t="shared" si="12"/>
        <v>1</v>
      </c>
      <c r="P94">
        <f t="shared" si="13"/>
        <v>0</v>
      </c>
      <c r="Q94">
        <f t="shared" si="14"/>
        <v>1</v>
      </c>
      <c r="R94">
        <f t="shared" si="15"/>
        <v>0</v>
      </c>
      <c r="S94">
        <v>1</v>
      </c>
      <c r="T94">
        <f t="shared" si="16"/>
        <v>-0.25019442693935606</v>
      </c>
      <c r="U94">
        <v>-0.11876189280329348</v>
      </c>
      <c r="V94">
        <f t="shared" si="17"/>
        <v>0.1314325341360626</v>
      </c>
    </row>
    <row r="95" spans="1:22" x14ac:dyDescent="0.2">
      <c r="A95">
        <f t="shared" si="18"/>
        <v>94</v>
      </c>
      <c r="B95" s="2">
        <f t="shared" si="19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6">
        <v>4.2</v>
      </c>
      <c r="H95" s="5">
        <v>12</v>
      </c>
      <c r="I95" s="7" t="s">
        <v>20</v>
      </c>
      <c r="J95" s="8" t="s">
        <v>13</v>
      </c>
      <c r="K95">
        <v>290</v>
      </c>
      <c r="L95">
        <v>219.07442776542351</v>
      </c>
      <c r="M95">
        <v>219.40283703896759</v>
      </c>
      <c r="N95">
        <f t="shared" si="11"/>
        <v>0</v>
      </c>
      <c r="O95">
        <f t="shared" si="12"/>
        <v>1</v>
      </c>
      <c r="P95">
        <f t="shared" si="13"/>
        <v>0</v>
      </c>
      <c r="Q95">
        <f t="shared" si="14"/>
        <v>1</v>
      </c>
      <c r="R95">
        <f t="shared" si="15"/>
        <v>0</v>
      </c>
      <c r="S95">
        <v>1</v>
      </c>
      <c r="T95">
        <f t="shared" si="16"/>
        <v>-1.0333511825126951</v>
      </c>
      <c r="U95">
        <v>-1.1615718974780229</v>
      </c>
      <c r="V95">
        <f t="shared" si="17"/>
        <v>-0.12822071496532783</v>
      </c>
    </row>
    <row r="96" spans="1:22" x14ac:dyDescent="0.2">
      <c r="A96">
        <f t="shared" si="18"/>
        <v>95</v>
      </c>
      <c r="B96" s="2">
        <f t="shared" si="19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6">
        <v>4.2</v>
      </c>
      <c r="H96" s="5">
        <v>12</v>
      </c>
      <c r="I96" s="7" t="s">
        <v>20</v>
      </c>
      <c r="J96" s="8" t="s">
        <v>14</v>
      </c>
      <c r="K96">
        <v>210</v>
      </c>
      <c r="L96">
        <v>54.022115727964547</v>
      </c>
      <c r="M96">
        <v>55.33885603918457</v>
      </c>
      <c r="N96">
        <f t="shared" si="11"/>
        <v>0</v>
      </c>
      <c r="O96">
        <f t="shared" si="12"/>
        <v>1</v>
      </c>
      <c r="P96">
        <f t="shared" si="13"/>
        <v>0</v>
      </c>
      <c r="Q96">
        <f t="shared" si="14"/>
        <v>1</v>
      </c>
      <c r="R96">
        <f t="shared" si="15"/>
        <v>0</v>
      </c>
      <c r="S96">
        <v>1</v>
      </c>
      <c r="T96">
        <f t="shared" si="16"/>
        <v>-9.8281113286672592E-2</v>
      </c>
      <c r="U96">
        <v>-0.64537253731137245</v>
      </c>
      <c r="V96">
        <f t="shared" si="17"/>
        <v>-0.5470914240246999</v>
      </c>
    </row>
    <row r="97" spans="1:22" x14ac:dyDescent="0.2">
      <c r="A97">
        <f t="shared" si="18"/>
        <v>96</v>
      </c>
      <c r="B97" s="2">
        <f t="shared" si="19"/>
        <v>49</v>
      </c>
      <c r="C97" s="34">
        <v>43357</v>
      </c>
      <c r="D97" s="35">
        <v>0.16467592593107838</v>
      </c>
      <c r="E97" s="36">
        <v>-8.16</v>
      </c>
      <c r="F97" s="36">
        <v>116.37</v>
      </c>
      <c r="G97" s="6">
        <v>4.2</v>
      </c>
      <c r="H97" s="36">
        <v>12</v>
      </c>
      <c r="I97" s="2" t="s">
        <v>20</v>
      </c>
      <c r="J97" s="8" t="s">
        <v>15</v>
      </c>
      <c r="K97">
        <v>770</v>
      </c>
      <c r="L97">
        <v>68.094097247178624</v>
      </c>
      <c r="M97">
        <v>69.143373362226257</v>
      </c>
      <c r="N97">
        <f t="shared" si="11"/>
        <v>0</v>
      </c>
      <c r="O97">
        <f t="shared" si="12"/>
        <v>1</v>
      </c>
      <c r="P97">
        <f t="shared" si="13"/>
        <v>0</v>
      </c>
      <c r="Q97">
        <f t="shared" si="14"/>
        <v>1</v>
      </c>
      <c r="R97">
        <f t="shared" si="15"/>
        <v>0</v>
      </c>
      <c r="S97">
        <v>1</v>
      </c>
      <c r="T97">
        <f t="shared" si="16"/>
        <v>-0.67526895745182658</v>
      </c>
      <c r="U97">
        <v>-1.1343853109196311</v>
      </c>
      <c r="V97">
        <f t="shared" si="17"/>
        <v>-0.45911635346780455</v>
      </c>
    </row>
    <row r="98" spans="1:22" x14ac:dyDescent="0.2">
      <c r="A98">
        <f t="shared" si="18"/>
        <v>97</v>
      </c>
      <c r="B98" s="2">
        <f t="shared" si="19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6">
        <v>4.2</v>
      </c>
      <c r="H98" s="5">
        <v>10</v>
      </c>
      <c r="I98" s="7" t="s">
        <v>20</v>
      </c>
      <c r="J98" s="8" t="s">
        <v>18</v>
      </c>
      <c r="K98">
        <v>283</v>
      </c>
      <c r="L98">
        <v>149.41083072966944</v>
      </c>
      <c r="M98">
        <v>149.74510455881332</v>
      </c>
      <c r="N98">
        <f t="shared" ref="N98:N129" si="20">IF(I98="normal",1,0)</f>
        <v>0</v>
      </c>
      <c r="O98">
        <f t="shared" ref="O98:O129" si="21">IF(I98="reverse",1,0)</f>
        <v>1</v>
      </c>
      <c r="P98">
        <f t="shared" si="13"/>
        <v>0</v>
      </c>
      <c r="Q98">
        <f t="shared" si="14"/>
        <v>1</v>
      </c>
      <c r="R98">
        <f t="shared" si="15"/>
        <v>0</v>
      </c>
      <c r="S98">
        <v>1</v>
      </c>
      <c r="T98">
        <f t="shared" si="16"/>
        <v>-0.79606158608346822</v>
      </c>
      <c r="U98">
        <v>-1.0724594904360882</v>
      </c>
      <c r="V98">
        <f t="shared" si="17"/>
        <v>-0.27639790435262002</v>
      </c>
    </row>
    <row r="99" spans="1:22" x14ac:dyDescent="0.2">
      <c r="A99">
        <f t="shared" si="18"/>
        <v>98</v>
      </c>
      <c r="B99" s="2">
        <f t="shared" si="19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6">
        <v>3.5</v>
      </c>
      <c r="H99" s="5">
        <v>16</v>
      </c>
      <c r="I99" s="7" t="s">
        <v>20</v>
      </c>
      <c r="J99" s="8" t="s">
        <v>14</v>
      </c>
      <c r="K99">
        <v>210</v>
      </c>
      <c r="L99">
        <v>27.234821366102938</v>
      </c>
      <c r="M99">
        <v>31.586951338227262</v>
      </c>
      <c r="N99">
        <f t="shared" si="20"/>
        <v>0</v>
      </c>
      <c r="O99">
        <f t="shared" si="21"/>
        <v>1</v>
      </c>
      <c r="P99">
        <f t="shared" si="13"/>
        <v>0</v>
      </c>
      <c r="Q99">
        <f t="shared" si="14"/>
        <v>1</v>
      </c>
      <c r="R99">
        <f t="shared" si="15"/>
        <v>0</v>
      </c>
      <c r="S99">
        <v>1</v>
      </c>
      <c r="T99">
        <f t="shared" si="16"/>
        <v>-0.67371131301272069</v>
      </c>
      <c r="U99">
        <v>-1.1095686687407196</v>
      </c>
      <c r="V99">
        <f t="shared" si="17"/>
        <v>-0.43585735572799889</v>
      </c>
    </row>
    <row r="100" spans="1:22" x14ac:dyDescent="0.2">
      <c r="A100">
        <f t="shared" si="18"/>
        <v>99</v>
      </c>
      <c r="B100" s="2">
        <f t="shared" si="19"/>
        <v>51</v>
      </c>
      <c r="C100" s="34">
        <v>43364</v>
      </c>
      <c r="D100" s="35">
        <v>0.28790509259852115</v>
      </c>
      <c r="E100" s="36">
        <v>-8.32</v>
      </c>
      <c r="F100" s="36">
        <v>116.12</v>
      </c>
      <c r="G100" s="6">
        <v>3.5</v>
      </c>
      <c r="H100" s="36">
        <v>16</v>
      </c>
      <c r="I100" s="2" t="s">
        <v>20</v>
      </c>
      <c r="J100" s="8" t="s">
        <v>15</v>
      </c>
      <c r="K100">
        <v>770</v>
      </c>
      <c r="L100">
        <v>52.611970116012088</v>
      </c>
      <c r="M100">
        <v>54.991084727327838</v>
      </c>
      <c r="N100">
        <f t="shared" si="20"/>
        <v>0</v>
      </c>
      <c r="O100">
        <f t="shared" si="21"/>
        <v>1</v>
      </c>
      <c r="P100">
        <f t="shared" si="13"/>
        <v>0</v>
      </c>
      <c r="Q100">
        <f t="shared" si="14"/>
        <v>1</v>
      </c>
      <c r="R100">
        <f t="shared" si="15"/>
        <v>0</v>
      </c>
      <c r="S100">
        <v>1</v>
      </c>
      <c r="T100">
        <f t="shared" si="16"/>
        <v>-1.4468720231744463</v>
      </c>
      <c r="U100">
        <v>-1.6534206418668231</v>
      </c>
      <c r="V100">
        <f t="shared" si="17"/>
        <v>-0.20654861869237684</v>
      </c>
    </row>
    <row r="101" spans="1:22" x14ac:dyDescent="0.2">
      <c r="A101">
        <f t="shared" si="18"/>
        <v>100</v>
      </c>
      <c r="B101" s="2">
        <f t="shared" si="19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6">
        <v>4</v>
      </c>
      <c r="H101" s="5">
        <v>13</v>
      </c>
      <c r="I101" s="7" t="s">
        <v>20</v>
      </c>
      <c r="J101" s="8" t="s">
        <v>18</v>
      </c>
      <c r="K101">
        <v>283</v>
      </c>
      <c r="L101">
        <v>76.556929365864917</v>
      </c>
      <c r="M101">
        <v>77.652839187823844</v>
      </c>
      <c r="N101">
        <f t="shared" si="20"/>
        <v>0</v>
      </c>
      <c r="O101">
        <f t="shared" si="21"/>
        <v>1</v>
      </c>
      <c r="P101">
        <f t="shared" si="13"/>
        <v>0</v>
      </c>
      <c r="Q101">
        <f t="shared" si="14"/>
        <v>1</v>
      </c>
      <c r="R101">
        <f t="shared" si="15"/>
        <v>0</v>
      </c>
      <c r="S101">
        <v>0</v>
      </c>
      <c r="T101">
        <f t="shared" si="16"/>
        <v>-0.64946062087922962</v>
      </c>
      <c r="U101">
        <v>-1.1933671190465152</v>
      </c>
      <c r="V101">
        <f t="shared" si="17"/>
        <v>-0.54390649816728553</v>
      </c>
    </row>
    <row r="102" spans="1:22" x14ac:dyDescent="0.2">
      <c r="A102">
        <f t="shared" si="18"/>
        <v>101</v>
      </c>
      <c r="B102" s="2">
        <f t="shared" si="19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6">
        <v>3.7</v>
      </c>
      <c r="H102" s="5">
        <v>11</v>
      </c>
      <c r="I102" s="7" t="s">
        <v>20</v>
      </c>
      <c r="J102" s="8" t="s">
        <v>12</v>
      </c>
      <c r="K102">
        <v>386</v>
      </c>
      <c r="L102">
        <v>202.99354263663312</v>
      </c>
      <c r="M102">
        <v>203.29136320112224</v>
      </c>
      <c r="N102">
        <f t="shared" si="20"/>
        <v>0</v>
      </c>
      <c r="O102">
        <f t="shared" si="21"/>
        <v>1</v>
      </c>
      <c r="P102">
        <f t="shared" si="13"/>
        <v>0</v>
      </c>
      <c r="Q102">
        <f t="shared" si="14"/>
        <v>1</v>
      </c>
      <c r="R102">
        <f t="shared" si="15"/>
        <v>0</v>
      </c>
      <c r="S102">
        <v>0</v>
      </c>
      <c r="T102">
        <f t="shared" si="16"/>
        <v>-1.7202320959086841</v>
      </c>
      <c r="U102">
        <v>-1.7559043352627781</v>
      </c>
      <c r="V102">
        <f t="shared" si="17"/>
        <v>-3.5672239354094026E-2</v>
      </c>
    </row>
    <row r="103" spans="1:22" x14ac:dyDescent="0.2">
      <c r="A103">
        <f t="shared" si="18"/>
        <v>102</v>
      </c>
      <c r="B103" s="2">
        <f t="shared" si="19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6">
        <v>4.9000000000000004</v>
      </c>
      <c r="H103" s="5">
        <v>10</v>
      </c>
      <c r="I103" s="7" t="s">
        <v>20</v>
      </c>
      <c r="J103" s="8" t="s">
        <v>14</v>
      </c>
      <c r="K103">
        <v>210</v>
      </c>
      <c r="L103">
        <v>74.843048563414939</v>
      </c>
      <c r="M103">
        <v>75.508157958366894</v>
      </c>
      <c r="N103">
        <f t="shared" si="20"/>
        <v>0</v>
      </c>
      <c r="O103">
        <f t="shared" si="21"/>
        <v>1</v>
      </c>
      <c r="P103">
        <f t="shared" si="13"/>
        <v>0</v>
      </c>
      <c r="Q103">
        <f t="shared" si="14"/>
        <v>1</v>
      </c>
      <c r="R103">
        <f t="shared" si="15"/>
        <v>0</v>
      </c>
      <c r="S103">
        <v>1</v>
      </c>
      <c r="T103">
        <f t="shared" si="16"/>
        <v>0.49927830218355201</v>
      </c>
      <c r="U103">
        <v>0.10411740278711605</v>
      </c>
      <c r="V103">
        <f t="shared" si="17"/>
        <v>-0.39516089939643595</v>
      </c>
    </row>
    <row r="104" spans="1:22" x14ac:dyDescent="0.2">
      <c r="A104">
        <f t="shared" si="18"/>
        <v>103</v>
      </c>
      <c r="B104" s="2">
        <f t="shared" si="19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6">
        <v>4.9000000000000004</v>
      </c>
      <c r="H104" s="5">
        <v>10</v>
      </c>
      <c r="I104" s="7" t="s">
        <v>20</v>
      </c>
      <c r="J104" s="8" t="s">
        <v>18</v>
      </c>
      <c r="K104">
        <v>283</v>
      </c>
      <c r="L104">
        <v>72.833909625461303</v>
      </c>
      <c r="M104">
        <v>73.517197928987102</v>
      </c>
      <c r="N104">
        <f t="shared" si="20"/>
        <v>0</v>
      </c>
      <c r="O104">
        <f t="shared" si="21"/>
        <v>1</v>
      </c>
      <c r="P104">
        <f t="shared" si="13"/>
        <v>0</v>
      </c>
      <c r="Q104">
        <f t="shared" si="14"/>
        <v>1</v>
      </c>
      <c r="R104">
        <f t="shared" si="15"/>
        <v>0</v>
      </c>
      <c r="S104">
        <v>0</v>
      </c>
      <c r="T104">
        <f t="shared" si="16"/>
        <v>0.4133807841391956</v>
      </c>
      <c r="U104">
        <v>0.44860294355817742</v>
      </c>
      <c r="V104">
        <f t="shared" si="17"/>
        <v>3.5222159418981824E-2</v>
      </c>
    </row>
    <row r="105" spans="1:22" x14ac:dyDescent="0.2">
      <c r="A105">
        <f t="shared" si="18"/>
        <v>104</v>
      </c>
      <c r="B105" s="2">
        <f t="shared" si="19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6">
        <v>4.5</v>
      </c>
      <c r="H105" s="5">
        <v>10</v>
      </c>
      <c r="I105" s="7" t="s">
        <v>20</v>
      </c>
      <c r="J105" s="8" t="s">
        <v>13</v>
      </c>
      <c r="K105">
        <v>290</v>
      </c>
      <c r="L105">
        <v>169.5752754141601</v>
      </c>
      <c r="M105">
        <v>169.86987382048724</v>
      </c>
      <c r="N105">
        <f t="shared" si="20"/>
        <v>0</v>
      </c>
      <c r="O105">
        <f t="shared" si="21"/>
        <v>1</v>
      </c>
      <c r="P105">
        <f t="shared" si="13"/>
        <v>0</v>
      </c>
      <c r="Q105">
        <f t="shared" si="14"/>
        <v>1</v>
      </c>
      <c r="R105">
        <f t="shared" si="15"/>
        <v>0</v>
      </c>
      <c r="S105">
        <v>0</v>
      </c>
      <c r="T105">
        <f t="shared" si="16"/>
        <v>-0.52946746126755795</v>
      </c>
      <c r="U105">
        <v>-0.56373883087883447</v>
      </c>
      <c r="V105">
        <f t="shared" si="17"/>
        <v>-3.4271369611276525E-2</v>
      </c>
    </row>
    <row r="106" spans="1:22" x14ac:dyDescent="0.2">
      <c r="A106">
        <f t="shared" si="18"/>
        <v>105</v>
      </c>
      <c r="B106" s="2">
        <f t="shared" si="19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6">
        <v>4.3</v>
      </c>
      <c r="H106" s="5">
        <v>10</v>
      </c>
      <c r="I106" s="7" t="s">
        <v>20</v>
      </c>
      <c r="J106" s="8" t="s">
        <v>13</v>
      </c>
      <c r="K106">
        <v>290</v>
      </c>
      <c r="L106">
        <v>191.39436649976986</v>
      </c>
      <c r="M106">
        <v>191.65542916350748</v>
      </c>
      <c r="N106">
        <f t="shared" si="20"/>
        <v>0</v>
      </c>
      <c r="O106">
        <f t="shared" si="21"/>
        <v>1</v>
      </c>
      <c r="P106">
        <f t="shared" si="13"/>
        <v>0</v>
      </c>
      <c r="Q106">
        <f t="shared" si="14"/>
        <v>1</v>
      </c>
      <c r="R106">
        <f t="shared" si="15"/>
        <v>0</v>
      </c>
      <c r="S106">
        <v>0</v>
      </c>
      <c r="T106">
        <f t="shared" si="16"/>
        <v>-0.83294513001842774</v>
      </c>
      <c r="U106">
        <v>-0.97542822603934465</v>
      </c>
      <c r="V106">
        <f t="shared" si="17"/>
        <v>-0.14248309602091691</v>
      </c>
    </row>
    <row r="107" spans="1:22" x14ac:dyDescent="0.2">
      <c r="A107">
        <f t="shared" si="18"/>
        <v>106</v>
      </c>
      <c r="B107" s="2">
        <f t="shared" si="19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6">
        <v>4.3</v>
      </c>
      <c r="H107" s="5">
        <v>10</v>
      </c>
      <c r="I107" s="7" t="s">
        <v>20</v>
      </c>
      <c r="J107" s="8" t="s">
        <v>14</v>
      </c>
      <c r="K107">
        <v>210</v>
      </c>
      <c r="L107">
        <v>62.335277789976317</v>
      </c>
      <c r="M107">
        <v>63.132296466654168</v>
      </c>
      <c r="N107">
        <f t="shared" si="20"/>
        <v>0</v>
      </c>
      <c r="O107">
        <f t="shared" si="21"/>
        <v>1</v>
      </c>
      <c r="P107">
        <f t="shared" si="13"/>
        <v>0</v>
      </c>
      <c r="Q107">
        <f t="shared" si="14"/>
        <v>1</v>
      </c>
      <c r="R107">
        <f t="shared" si="15"/>
        <v>0</v>
      </c>
      <c r="S107">
        <v>1</v>
      </c>
      <c r="T107">
        <f t="shared" si="16"/>
        <v>-5.7434583827614502E-2</v>
      </c>
      <c r="U107">
        <v>-0.3752693914831795</v>
      </c>
      <c r="V107">
        <f t="shared" si="17"/>
        <v>-0.31783480765556499</v>
      </c>
    </row>
    <row r="108" spans="1:22" x14ac:dyDescent="0.2">
      <c r="A108">
        <f t="shared" si="18"/>
        <v>107</v>
      </c>
      <c r="B108" s="2">
        <f t="shared" si="19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6">
        <v>4.7</v>
      </c>
      <c r="H108" s="5">
        <v>10</v>
      </c>
      <c r="I108" s="7" t="s">
        <v>20</v>
      </c>
      <c r="J108" s="8" t="s">
        <v>13</v>
      </c>
      <c r="K108">
        <v>290</v>
      </c>
      <c r="L108">
        <v>153.54034510521262</v>
      </c>
      <c r="M108">
        <v>153.8656478068701</v>
      </c>
      <c r="N108">
        <f t="shared" si="20"/>
        <v>0</v>
      </c>
      <c r="O108">
        <f t="shared" si="21"/>
        <v>1</v>
      </c>
      <c r="P108">
        <f t="shared" si="13"/>
        <v>0</v>
      </c>
      <c r="Q108">
        <f t="shared" si="14"/>
        <v>1</v>
      </c>
      <c r="R108">
        <f t="shared" si="15"/>
        <v>0</v>
      </c>
      <c r="S108">
        <v>0</v>
      </c>
      <c r="T108">
        <f t="shared" si="16"/>
        <v>-0.24911513678432223</v>
      </c>
      <c r="U108">
        <v>-0.53907941201282861</v>
      </c>
      <c r="V108">
        <f t="shared" si="17"/>
        <v>-0.28996427522850637</v>
      </c>
    </row>
    <row r="109" spans="1:22" x14ac:dyDescent="0.2">
      <c r="A109">
        <f t="shared" si="18"/>
        <v>108</v>
      </c>
      <c r="B109" s="2">
        <f t="shared" si="19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6">
        <v>3.8</v>
      </c>
      <c r="H109" s="5">
        <v>20</v>
      </c>
      <c r="I109" s="7" t="s">
        <v>20</v>
      </c>
      <c r="J109" s="8" t="s">
        <v>18</v>
      </c>
      <c r="K109">
        <v>283</v>
      </c>
      <c r="L109">
        <v>73.704865393879203</v>
      </c>
      <c r="M109">
        <v>76.370198262999509</v>
      </c>
      <c r="N109">
        <f t="shared" si="20"/>
        <v>0</v>
      </c>
      <c r="O109">
        <f t="shared" si="21"/>
        <v>1</v>
      </c>
      <c r="P109">
        <f t="shared" si="13"/>
        <v>0</v>
      </c>
      <c r="Q109">
        <f t="shared" si="14"/>
        <v>1</v>
      </c>
      <c r="R109">
        <f t="shared" si="15"/>
        <v>0</v>
      </c>
      <c r="S109">
        <v>0</v>
      </c>
      <c r="T109">
        <f t="shared" si="16"/>
        <v>-0.89639340853378402</v>
      </c>
      <c r="U109">
        <v>-1.3768980919416229</v>
      </c>
      <c r="V109">
        <f t="shared" si="17"/>
        <v>-0.48050468340783892</v>
      </c>
    </row>
    <row r="110" spans="1:22" x14ac:dyDescent="0.2">
      <c r="A110">
        <f t="shared" si="18"/>
        <v>109</v>
      </c>
      <c r="B110" s="2">
        <f t="shared" si="19"/>
        <v>59</v>
      </c>
      <c r="C110" s="27">
        <v>43419</v>
      </c>
      <c r="D110" s="28">
        <v>0.82395833333333324</v>
      </c>
      <c r="E110" s="29">
        <v>-8.2100000000000009</v>
      </c>
      <c r="F110" s="29">
        <v>116.33</v>
      </c>
      <c r="G110" s="6">
        <v>3.7</v>
      </c>
      <c r="H110" s="29">
        <v>5</v>
      </c>
      <c r="I110" s="2" t="s">
        <v>20</v>
      </c>
      <c r="J110" s="8" t="s">
        <v>15</v>
      </c>
      <c r="K110">
        <v>770</v>
      </c>
      <c r="L110">
        <v>62.043000961657171</v>
      </c>
      <c r="M110">
        <v>62.244148064924083</v>
      </c>
      <c r="N110">
        <f t="shared" si="20"/>
        <v>0</v>
      </c>
      <c r="O110">
        <f t="shared" si="21"/>
        <v>1</v>
      </c>
      <c r="P110">
        <f t="shared" si="13"/>
        <v>0</v>
      </c>
      <c r="Q110">
        <f t="shared" si="14"/>
        <v>1</v>
      </c>
      <c r="R110">
        <f t="shared" si="15"/>
        <v>0</v>
      </c>
      <c r="S110">
        <v>1</v>
      </c>
      <c r="T110">
        <f t="shared" si="16"/>
        <v>-1.2484865822015407</v>
      </c>
      <c r="U110">
        <v>-1.6761583366446684</v>
      </c>
      <c r="V110">
        <f t="shared" si="17"/>
        <v>-0.42767175444312766</v>
      </c>
    </row>
    <row r="111" spans="1:22" x14ac:dyDescent="0.2">
      <c r="A111">
        <f t="shared" si="18"/>
        <v>110</v>
      </c>
      <c r="B111" s="2">
        <f t="shared" si="19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6">
        <v>3.7</v>
      </c>
      <c r="H111" s="5">
        <v>11</v>
      </c>
      <c r="I111" s="7" t="s">
        <v>20</v>
      </c>
      <c r="J111" s="8" t="s">
        <v>14</v>
      </c>
      <c r="K111">
        <v>210</v>
      </c>
      <c r="L111">
        <v>23.835078470597363</v>
      </c>
      <c r="M111">
        <v>26.25092313994946</v>
      </c>
      <c r="N111">
        <f t="shared" si="20"/>
        <v>0</v>
      </c>
      <c r="O111">
        <f t="shared" si="21"/>
        <v>1</v>
      </c>
      <c r="P111">
        <f t="shared" si="13"/>
        <v>0</v>
      </c>
      <c r="Q111">
        <f t="shared" si="14"/>
        <v>1</v>
      </c>
      <c r="R111">
        <f t="shared" si="15"/>
        <v>0</v>
      </c>
      <c r="S111">
        <v>1</v>
      </c>
      <c r="T111">
        <f t="shared" si="16"/>
        <v>-0.29201642576062875</v>
      </c>
      <c r="U111">
        <v>-0.44798025037045003</v>
      </c>
      <c r="V111">
        <f t="shared" si="17"/>
        <v>-0.15596382460982128</v>
      </c>
    </row>
    <row r="112" spans="1:22" x14ac:dyDescent="0.2">
      <c r="A112">
        <f t="shared" si="18"/>
        <v>111</v>
      </c>
      <c r="B112" s="2">
        <f t="shared" si="19"/>
        <v>60</v>
      </c>
      <c r="C112" s="27">
        <v>43421</v>
      </c>
      <c r="D112" s="28">
        <v>0.52866898148148145</v>
      </c>
      <c r="E112" s="29">
        <v>-8.35</v>
      </c>
      <c r="F112" s="29">
        <v>116.09</v>
      </c>
      <c r="G112" s="6">
        <v>3.7</v>
      </c>
      <c r="H112" s="29">
        <v>11</v>
      </c>
      <c r="I112" s="2" t="s">
        <v>20</v>
      </c>
      <c r="J112" s="8" t="s">
        <v>15</v>
      </c>
      <c r="K112">
        <v>770</v>
      </c>
      <c r="L112">
        <v>50.769469002227638</v>
      </c>
      <c r="M112">
        <v>51.94746367983862</v>
      </c>
      <c r="N112">
        <f t="shared" si="20"/>
        <v>0</v>
      </c>
      <c r="O112">
        <f t="shared" si="21"/>
        <v>1</v>
      </c>
      <c r="P112">
        <f t="shared" si="13"/>
        <v>0</v>
      </c>
      <c r="Q112">
        <f t="shared" si="14"/>
        <v>1</v>
      </c>
      <c r="R112">
        <f t="shared" si="15"/>
        <v>0</v>
      </c>
      <c r="S112">
        <v>1</v>
      </c>
      <c r="T112">
        <f t="shared" si="16"/>
        <v>-1.1406400953180038</v>
      </c>
      <c r="U112">
        <v>-1.3156761876235752</v>
      </c>
      <c r="V112">
        <f t="shared" si="17"/>
        <v>-0.17503609230557138</v>
      </c>
    </row>
    <row r="113" spans="1:22" x14ac:dyDescent="0.2">
      <c r="A113">
        <f t="shared" si="18"/>
        <v>112</v>
      </c>
      <c r="B113" s="2">
        <f t="shared" si="19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6">
        <v>5.0999999999999996</v>
      </c>
      <c r="H113" s="5">
        <v>10</v>
      </c>
      <c r="I113" s="7" t="s">
        <v>20</v>
      </c>
      <c r="J113" s="8" t="s">
        <v>18</v>
      </c>
      <c r="K113">
        <v>283</v>
      </c>
      <c r="L113">
        <v>76.326023434540531</v>
      </c>
      <c r="M113">
        <v>76.978320671017698</v>
      </c>
      <c r="N113">
        <f t="shared" si="20"/>
        <v>0</v>
      </c>
      <c r="O113">
        <f t="shared" si="21"/>
        <v>1</v>
      </c>
      <c r="P113">
        <f t="shared" si="13"/>
        <v>0</v>
      </c>
      <c r="Q113">
        <f t="shared" si="14"/>
        <v>1</v>
      </c>
      <c r="R113">
        <f t="shared" si="15"/>
        <v>0</v>
      </c>
      <c r="S113">
        <v>0</v>
      </c>
      <c r="T113">
        <f t="shared" si="16"/>
        <v>0.5866958543967431</v>
      </c>
      <c r="U113">
        <v>0.54770724976790464</v>
      </c>
      <c r="V113">
        <f t="shared" si="17"/>
        <v>-3.8988604628838464E-2</v>
      </c>
    </row>
    <row r="114" spans="1:22" x14ac:dyDescent="0.2">
      <c r="A114">
        <f t="shared" si="18"/>
        <v>113</v>
      </c>
      <c r="B114" s="2">
        <f t="shared" si="19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6">
        <v>5.0999999999999996</v>
      </c>
      <c r="H114" s="5">
        <v>10</v>
      </c>
      <c r="I114" s="7" t="s">
        <v>20</v>
      </c>
      <c r="J114" s="8" t="s">
        <v>16</v>
      </c>
      <c r="K114">
        <v>1141</v>
      </c>
      <c r="L114">
        <v>45.913425587818345</v>
      </c>
      <c r="M114">
        <v>46.989814313403414</v>
      </c>
      <c r="N114">
        <f t="shared" si="20"/>
        <v>0</v>
      </c>
      <c r="O114">
        <f t="shared" si="21"/>
        <v>1</v>
      </c>
      <c r="P114">
        <f t="shared" si="13"/>
        <v>0</v>
      </c>
      <c r="Q114">
        <f t="shared" si="14"/>
        <v>1</v>
      </c>
      <c r="R114">
        <f t="shared" si="15"/>
        <v>0</v>
      </c>
      <c r="S114">
        <v>0</v>
      </c>
      <c r="T114">
        <f t="shared" si="16"/>
        <v>0.40620160903849406</v>
      </c>
      <c r="U114">
        <v>0.1350738267115561</v>
      </c>
      <c r="V114">
        <f t="shared" si="17"/>
        <v>-0.27112778232693796</v>
      </c>
    </row>
    <row r="115" spans="1:22" x14ac:dyDescent="0.2">
      <c r="A115" s="11">
        <f t="shared" si="18"/>
        <v>114</v>
      </c>
      <c r="B115" s="12">
        <f t="shared" si="19"/>
        <v>62</v>
      </c>
      <c r="C115" s="13">
        <v>43508</v>
      </c>
      <c r="D115" s="14">
        <v>0.71231481481481485</v>
      </c>
      <c r="E115" s="15">
        <v>-8.39</v>
      </c>
      <c r="F115" s="15">
        <v>116.84</v>
      </c>
      <c r="G115" s="16">
        <v>4.5</v>
      </c>
      <c r="H115" s="15">
        <v>10</v>
      </c>
      <c r="I115" s="17" t="s">
        <v>20</v>
      </c>
      <c r="J115" s="18" t="s">
        <v>16</v>
      </c>
      <c r="K115">
        <v>1141</v>
      </c>
      <c r="L115">
        <v>38.954393040170586</v>
      </c>
      <c r="M115">
        <v>40.217468059639089</v>
      </c>
      <c r="N115">
        <f t="shared" si="20"/>
        <v>0</v>
      </c>
      <c r="O115">
        <f t="shared" si="21"/>
        <v>1</v>
      </c>
      <c r="P115">
        <f t="shared" si="13"/>
        <v>0</v>
      </c>
      <c r="Q115">
        <f t="shared" si="14"/>
        <v>1</v>
      </c>
      <c r="R115">
        <f t="shared" si="15"/>
        <v>0</v>
      </c>
      <c r="S115">
        <v>0</v>
      </c>
      <c r="T115">
        <f t="shared" si="16"/>
        <v>-0.13481138377736124</v>
      </c>
      <c r="U115">
        <v>-0.38529898060135914</v>
      </c>
      <c r="V115">
        <f t="shared" si="17"/>
        <v>-0.2504875968239979</v>
      </c>
    </row>
    <row r="116" spans="1:22" x14ac:dyDescent="0.2">
      <c r="A116" s="11">
        <f t="shared" si="18"/>
        <v>115</v>
      </c>
      <c r="B116" s="12">
        <f t="shared" si="19"/>
        <v>63</v>
      </c>
      <c r="C116" s="37">
        <v>43541</v>
      </c>
      <c r="D116" s="14">
        <v>0.58848379629629632</v>
      </c>
      <c r="E116" s="15">
        <v>-8.4700000000000006</v>
      </c>
      <c r="F116" s="15">
        <v>116.55</v>
      </c>
      <c r="G116" s="16">
        <v>5.5</v>
      </c>
      <c r="H116" s="15">
        <v>19</v>
      </c>
      <c r="I116" s="12" t="s">
        <v>21</v>
      </c>
      <c r="J116" s="18" t="s">
        <v>15</v>
      </c>
      <c r="K116">
        <v>770</v>
      </c>
      <c r="L116">
        <v>44.602245905875868</v>
      </c>
      <c r="M116">
        <v>48.480515053454425</v>
      </c>
      <c r="N116">
        <f t="shared" si="20"/>
        <v>1</v>
      </c>
      <c r="O116">
        <f t="shared" si="21"/>
        <v>0</v>
      </c>
      <c r="P116">
        <f t="shared" si="13"/>
        <v>0</v>
      </c>
      <c r="Q116">
        <f t="shared" si="14"/>
        <v>1</v>
      </c>
      <c r="R116">
        <f t="shared" si="15"/>
        <v>0</v>
      </c>
      <c r="S116">
        <v>1</v>
      </c>
      <c r="T116">
        <f t="shared" si="16"/>
        <v>0.86566008432644104</v>
      </c>
      <c r="U116">
        <v>0.18447701244417003</v>
      </c>
      <c r="V116">
        <f t="shared" si="17"/>
        <v>-0.68118307188227101</v>
      </c>
    </row>
    <row r="117" spans="1:22" x14ac:dyDescent="0.2">
      <c r="A117" s="11">
        <f t="shared" si="18"/>
        <v>116</v>
      </c>
      <c r="B117" s="12">
        <f t="shared" si="19"/>
        <v>63</v>
      </c>
      <c r="C117" s="13">
        <v>43541</v>
      </c>
      <c r="D117" s="14">
        <v>0.58848379629629632</v>
      </c>
      <c r="E117" s="15">
        <v>-8.4700000000000006</v>
      </c>
      <c r="F117" s="15">
        <v>116.55</v>
      </c>
      <c r="G117" s="16">
        <v>5.5</v>
      </c>
      <c r="H117" s="15">
        <v>19</v>
      </c>
      <c r="I117" s="12" t="s">
        <v>21</v>
      </c>
      <c r="J117" s="18" t="s">
        <v>16</v>
      </c>
      <c r="K117">
        <v>1141</v>
      </c>
      <c r="L117">
        <v>47.410108769841003</v>
      </c>
      <c r="M117">
        <v>51.075614666572093</v>
      </c>
      <c r="N117">
        <f t="shared" si="20"/>
        <v>1</v>
      </c>
      <c r="O117">
        <f t="shared" si="21"/>
        <v>0</v>
      </c>
      <c r="P117">
        <f t="shared" si="13"/>
        <v>0</v>
      </c>
      <c r="Q117">
        <f t="shared" si="14"/>
        <v>1</v>
      </c>
      <c r="R117">
        <f t="shared" si="15"/>
        <v>0</v>
      </c>
      <c r="S117">
        <v>1</v>
      </c>
      <c r="T117">
        <f t="shared" si="16"/>
        <v>0.70005895562362064</v>
      </c>
      <c r="U117">
        <v>0.34405831688155136</v>
      </c>
      <c r="V117">
        <f t="shared" si="17"/>
        <v>-0.35600063874206928</v>
      </c>
    </row>
    <row r="118" spans="1:22" x14ac:dyDescent="0.2">
      <c r="A118" s="11">
        <f t="shared" si="18"/>
        <v>117</v>
      </c>
      <c r="B118" s="12">
        <f t="shared" si="19"/>
        <v>64</v>
      </c>
      <c r="C118" s="37">
        <v>43541</v>
      </c>
      <c r="D118" s="14">
        <v>0.58981481481481479</v>
      </c>
      <c r="E118" s="15">
        <v>-8.51</v>
      </c>
      <c r="F118" s="15">
        <v>116.49</v>
      </c>
      <c r="G118" s="16">
        <v>5.0999999999999996</v>
      </c>
      <c r="H118" s="15">
        <v>11</v>
      </c>
      <c r="I118" s="12" t="s">
        <v>21</v>
      </c>
      <c r="J118" s="18" t="s">
        <v>15</v>
      </c>
      <c r="K118">
        <v>770</v>
      </c>
      <c r="L118">
        <v>36.872886592294471</v>
      </c>
      <c r="M118">
        <v>38.478692358865437</v>
      </c>
      <c r="N118">
        <f t="shared" si="20"/>
        <v>1</v>
      </c>
      <c r="O118">
        <f t="shared" si="21"/>
        <v>0</v>
      </c>
      <c r="P118">
        <f t="shared" si="13"/>
        <v>0</v>
      </c>
      <c r="Q118">
        <f t="shared" si="14"/>
        <v>1</v>
      </c>
      <c r="R118">
        <f t="shared" si="15"/>
        <v>0</v>
      </c>
      <c r="S118">
        <v>1</v>
      </c>
      <c r="T118">
        <f t="shared" si="16"/>
        <v>0.63208476344808584</v>
      </c>
      <c r="U118">
        <v>0.3221959813897422</v>
      </c>
      <c r="V118">
        <f t="shared" si="17"/>
        <v>-0.30988878205834364</v>
      </c>
    </row>
    <row r="119" spans="1:22" x14ac:dyDescent="0.2">
      <c r="A119">
        <f t="shared" si="18"/>
        <v>118</v>
      </c>
      <c r="B119" s="2">
        <f t="shared" si="19"/>
        <v>65</v>
      </c>
      <c r="C119" s="34">
        <v>43571</v>
      </c>
      <c r="D119" s="35">
        <v>0.55440972223004792</v>
      </c>
      <c r="E119" s="36">
        <v>-8.2200000000000006</v>
      </c>
      <c r="F119" s="36">
        <v>116.76</v>
      </c>
      <c r="G119" s="6">
        <v>4.5999999999999996</v>
      </c>
      <c r="H119" s="36">
        <v>16</v>
      </c>
      <c r="I119" s="7" t="s">
        <v>20</v>
      </c>
      <c r="J119" s="8" t="s">
        <v>12</v>
      </c>
      <c r="K119">
        <v>386</v>
      </c>
      <c r="L119">
        <v>217.7283448303655</v>
      </c>
      <c r="M119">
        <v>218.31544183261647</v>
      </c>
      <c r="N119">
        <f t="shared" si="20"/>
        <v>0</v>
      </c>
      <c r="O119">
        <f t="shared" si="21"/>
        <v>1</v>
      </c>
      <c r="P119">
        <f t="shared" si="13"/>
        <v>0</v>
      </c>
      <c r="Q119">
        <f t="shared" si="14"/>
        <v>1</v>
      </c>
      <c r="R119">
        <f t="shared" si="15"/>
        <v>0</v>
      </c>
      <c r="S119">
        <v>0</v>
      </c>
      <c r="T119">
        <f t="shared" si="16"/>
        <v>-0.66600068794782141</v>
      </c>
      <c r="U119">
        <v>-0.79006418493968511</v>
      </c>
      <c r="V119">
        <f t="shared" si="17"/>
        <v>-0.1240634969918637</v>
      </c>
    </row>
    <row r="120" spans="1:22" x14ac:dyDescent="0.2">
      <c r="A120">
        <f t="shared" si="18"/>
        <v>119</v>
      </c>
      <c r="B120" s="2">
        <f t="shared" si="19"/>
        <v>66</v>
      </c>
      <c r="C120" s="34">
        <v>43579</v>
      </c>
      <c r="D120" s="35">
        <v>0.76734953703999054</v>
      </c>
      <c r="E120" s="36">
        <v>-8.1</v>
      </c>
      <c r="F120" s="36">
        <v>117.71</v>
      </c>
      <c r="G120" s="6">
        <v>3.8</v>
      </c>
      <c r="H120" s="36">
        <v>10</v>
      </c>
      <c r="I120" s="7" t="s">
        <v>20</v>
      </c>
      <c r="J120" s="8" t="s">
        <v>12</v>
      </c>
      <c r="K120">
        <v>386</v>
      </c>
      <c r="L120">
        <v>119.77550230598494</v>
      </c>
      <c r="M120">
        <v>120.19222500915359</v>
      </c>
      <c r="N120">
        <f t="shared" si="20"/>
        <v>0</v>
      </c>
      <c r="O120">
        <f t="shared" si="21"/>
        <v>1</v>
      </c>
      <c r="P120">
        <f t="shared" si="13"/>
        <v>0</v>
      </c>
      <c r="Q120">
        <f t="shared" si="14"/>
        <v>1</v>
      </c>
      <c r="R120">
        <f t="shared" si="15"/>
        <v>0</v>
      </c>
      <c r="S120">
        <v>1</v>
      </c>
      <c r="T120">
        <f t="shared" si="16"/>
        <v>-1.27362338859355</v>
      </c>
      <c r="U120">
        <v>-1.295549251883811</v>
      </c>
      <c r="V120">
        <f t="shared" si="17"/>
        <v>-2.1925863290261027E-2</v>
      </c>
    </row>
    <row r="121" spans="1:22" x14ac:dyDescent="0.2">
      <c r="A121">
        <f t="shared" si="18"/>
        <v>120</v>
      </c>
      <c r="B121" s="2">
        <f t="shared" si="19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6">
        <v>3.8</v>
      </c>
      <c r="H121" s="5">
        <v>10</v>
      </c>
      <c r="I121" s="7" t="s">
        <v>20</v>
      </c>
      <c r="J121" s="8" t="s">
        <v>16</v>
      </c>
      <c r="K121">
        <v>1141</v>
      </c>
      <c r="L121">
        <v>116.1383311956387</v>
      </c>
      <c r="M121">
        <v>116.568057258015</v>
      </c>
      <c r="N121">
        <f t="shared" si="20"/>
        <v>0</v>
      </c>
      <c r="O121">
        <f t="shared" si="21"/>
        <v>1</v>
      </c>
      <c r="P121">
        <f t="shared" si="13"/>
        <v>0</v>
      </c>
      <c r="Q121">
        <f t="shared" si="14"/>
        <v>1</v>
      </c>
      <c r="R121">
        <f t="shared" si="15"/>
        <v>0</v>
      </c>
      <c r="S121">
        <v>0</v>
      </c>
      <c r="T121">
        <f t="shared" si="16"/>
        <v>-1.6255718583119791</v>
      </c>
      <c r="U121">
        <v>-1.8052092342057537</v>
      </c>
      <c r="V121">
        <f t="shared" si="17"/>
        <v>-0.1796373758937746</v>
      </c>
    </row>
    <row r="122" spans="1:22" x14ac:dyDescent="0.2">
      <c r="A122">
        <f t="shared" si="18"/>
        <v>121</v>
      </c>
      <c r="B122" s="2">
        <f t="shared" si="19"/>
        <v>67</v>
      </c>
      <c r="C122" s="34">
        <v>43699</v>
      </c>
      <c r="D122" s="35">
        <v>0.37410879629629629</v>
      </c>
      <c r="E122" s="36">
        <v>-7.92</v>
      </c>
      <c r="F122" s="36">
        <v>117.15</v>
      </c>
      <c r="G122" s="6">
        <v>4.7</v>
      </c>
      <c r="H122" s="36">
        <v>10</v>
      </c>
      <c r="I122" s="7" t="s">
        <v>20</v>
      </c>
      <c r="J122" s="8" t="s">
        <v>12</v>
      </c>
      <c r="K122">
        <v>386</v>
      </c>
      <c r="L122">
        <v>184.86066146795699</v>
      </c>
      <c r="M122">
        <v>185.13093787471232</v>
      </c>
      <c r="N122">
        <f t="shared" si="20"/>
        <v>0</v>
      </c>
      <c r="O122">
        <f t="shared" si="21"/>
        <v>1</v>
      </c>
      <c r="P122">
        <f t="shared" si="13"/>
        <v>0</v>
      </c>
      <c r="Q122">
        <f t="shared" si="14"/>
        <v>1</v>
      </c>
      <c r="R122">
        <f t="shared" si="15"/>
        <v>0</v>
      </c>
      <c r="S122">
        <v>1</v>
      </c>
      <c r="T122">
        <f t="shared" si="16"/>
        <v>-0.45785541746272834</v>
      </c>
      <c r="U122">
        <v>-0.957434061666813</v>
      </c>
      <c r="V122">
        <f t="shared" si="17"/>
        <v>-0.49957864420408465</v>
      </c>
    </row>
    <row r="123" spans="1:22" x14ac:dyDescent="0.2">
      <c r="A123">
        <f t="shared" si="18"/>
        <v>122</v>
      </c>
      <c r="B123" s="2">
        <f t="shared" si="19"/>
        <v>67</v>
      </c>
      <c r="C123" s="34">
        <v>43699</v>
      </c>
      <c r="D123" s="35">
        <v>0.37410879629629629</v>
      </c>
      <c r="E123" s="36">
        <v>-7.92</v>
      </c>
      <c r="F123" s="36">
        <v>117.15</v>
      </c>
      <c r="G123" s="6">
        <v>4.7</v>
      </c>
      <c r="H123" s="36">
        <v>10</v>
      </c>
      <c r="I123" s="2" t="s">
        <v>20</v>
      </c>
      <c r="J123" s="8" t="s">
        <v>15</v>
      </c>
      <c r="K123">
        <v>770</v>
      </c>
      <c r="L123">
        <v>134.91677794532623</v>
      </c>
      <c r="M123">
        <v>135.28686917490725</v>
      </c>
      <c r="N123">
        <f t="shared" si="20"/>
        <v>0</v>
      </c>
      <c r="O123">
        <f t="shared" si="21"/>
        <v>1</v>
      </c>
      <c r="P123">
        <f t="shared" si="13"/>
        <v>0</v>
      </c>
      <c r="Q123">
        <f t="shared" si="14"/>
        <v>1</v>
      </c>
      <c r="R123">
        <f t="shared" si="15"/>
        <v>0</v>
      </c>
      <c r="S123">
        <v>1</v>
      </c>
      <c r="T123">
        <f t="shared" si="16"/>
        <v>-0.50548154713307891</v>
      </c>
      <c r="U123">
        <v>-1.4031863119701531</v>
      </c>
      <c r="V123">
        <f t="shared" si="17"/>
        <v>-0.89770476483707418</v>
      </c>
    </row>
    <row r="124" spans="1:22" x14ac:dyDescent="0.2">
      <c r="A124">
        <f t="shared" si="18"/>
        <v>123</v>
      </c>
      <c r="B124" s="2">
        <f t="shared" si="19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6">
        <v>4.7</v>
      </c>
      <c r="H124" s="5">
        <v>10</v>
      </c>
      <c r="I124" s="7" t="s">
        <v>20</v>
      </c>
      <c r="J124" s="8" t="s">
        <v>18</v>
      </c>
      <c r="K124">
        <v>283</v>
      </c>
      <c r="L124">
        <v>69.541234354373785</v>
      </c>
      <c r="M124">
        <v>70.25655325683104</v>
      </c>
      <c r="N124">
        <f t="shared" si="20"/>
        <v>0</v>
      </c>
      <c r="O124">
        <f t="shared" si="21"/>
        <v>1</v>
      </c>
      <c r="P124">
        <f t="shared" si="13"/>
        <v>0</v>
      </c>
      <c r="Q124">
        <f t="shared" si="14"/>
        <v>1</v>
      </c>
      <c r="R124">
        <f t="shared" si="15"/>
        <v>0</v>
      </c>
      <c r="S124">
        <v>0</v>
      </c>
      <c r="T124">
        <f t="shared" si="16"/>
        <v>0.22946214272150761</v>
      </c>
      <c r="U124">
        <v>4.8870526577043855E-2</v>
      </c>
      <c r="V124">
        <f t="shared" si="17"/>
        <v>-0.18059161614446376</v>
      </c>
    </row>
    <row r="125" spans="1:22" x14ac:dyDescent="0.2">
      <c r="A125">
        <f t="shared" si="18"/>
        <v>124</v>
      </c>
      <c r="B125" s="2">
        <f t="shared" si="19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6">
        <v>4.7</v>
      </c>
      <c r="H125" s="5">
        <v>10</v>
      </c>
      <c r="I125" s="7" t="s">
        <v>20</v>
      </c>
      <c r="J125" s="8" t="s">
        <v>16</v>
      </c>
      <c r="K125">
        <v>1141</v>
      </c>
      <c r="L125">
        <v>95.643589621406889</v>
      </c>
      <c r="M125">
        <v>96.164942862085098</v>
      </c>
      <c r="N125">
        <f t="shared" si="20"/>
        <v>0</v>
      </c>
      <c r="O125">
        <f t="shared" si="21"/>
        <v>1</v>
      </c>
      <c r="P125">
        <f t="shared" si="13"/>
        <v>0</v>
      </c>
      <c r="Q125">
        <f t="shared" si="14"/>
        <v>1</v>
      </c>
      <c r="R125">
        <f t="shared" si="15"/>
        <v>0</v>
      </c>
      <c r="S125">
        <v>0</v>
      </c>
      <c r="T125">
        <f t="shared" si="16"/>
        <v>-0.43503123853927317</v>
      </c>
      <c r="U125">
        <v>-0.15636716269072817</v>
      </c>
      <c r="V125">
        <f t="shared" si="17"/>
        <v>0.27866407584854502</v>
      </c>
    </row>
    <row r="126" spans="1:22" x14ac:dyDescent="0.2">
      <c r="A126">
        <f t="shared" si="18"/>
        <v>125</v>
      </c>
      <c r="B126" s="2">
        <f t="shared" si="19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6">
        <v>4.5999999999999996</v>
      </c>
      <c r="H126" s="5">
        <v>10</v>
      </c>
      <c r="I126" s="7" t="s">
        <v>20</v>
      </c>
      <c r="J126" s="8" t="s">
        <v>13</v>
      </c>
      <c r="K126">
        <v>290</v>
      </c>
      <c r="L126">
        <v>96.937892582870234</v>
      </c>
      <c r="M126">
        <v>97.452321770228167</v>
      </c>
      <c r="N126">
        <f t="shared" si="20"/>
        <v>0</v>
      </c>
      <c r="O126">
        <f t="shared" si="21"/>
        <v>1</v>
      </c>
      <c r="P126">
        <f t="shared" si="13"/>
        <v>0</v>
      </c>
      <c r="Q126">
        <f t="shared" si="14"/>
        <v>1</v>
      </c>
      <c r="R126">
        <f t="shared" si="15"/>
        <v>0</v>
      </c>
      <c r="S126">
        <v>1</v>
      </c>
      <c r="T126">
        <f t="shared" si="16"/>
        <v>-8.4362502028842587E-2</v>
      </c>
      <c r="U126">
        <v>-0.45196413695636867</v>
      </c>
      <c r="V126">
        <f t="shared" si="17"/>
        <v>-0.36760163492752607</v>
      </c>
    </row>
    <row r="127" spans="1:22" x14ac:dyDescent="0.2">
      <c r="A127">
        <f t="shared" si="18"/>
        <v>126</v>
      </c>
      <c r="B127" s="2">
        <f t="shared" si="19"/>
        <v>68</v>
      </c>
      <c r="C127" s="38">
        <v>43720</v>
      </c>
      <c r="D127" s="39">
        <v>0.27743055555555557</v>
      </c>
      <c r="E127" s="40">
        <v>-7.89</v>
      </c>
      <c r="F127" s="40">
        <v>117.69</v>
      </c>
      <c r="G127" s="6">
        <v>4.5999999999999996</v>
      </c>
      <c r="H127" s="40">
        <v>10</v>
      </c>
      <c r="I127" s="2" t="s">
        <v>20</v>
      </c>
      <c r="J127" s="8" t="s">
        <v>15</v>
      </c>
      <c r="K127">
        <v>770</v>
      </c>
      <c r="L127">
        <v>184.53152886292455</v>
      </c>
      <c r="M127">
        <v>184.80228663219606</v>
      </c>
      <c r="N127">
        <f t="shared" si="20"/>
        <v>0</v>
      </c>
      <c r="O127">
        <f t="shared" si="21"/>
        <v>1</v>
      </c>
      <c r="P127">
        <f t="shared" si="13"/>
        <v>0</v>
      </c>
      <c r="Q127">
        <f t="shared" si="14"/>
        <v>1</v>
      </c>
      <c r="R127">
        <f t="shared" si="15"/>
        <v>0</v>
      </c>
      <c r="S127">
        <v>0</v>
      </c>
      <c r="T127">
        <f t="shared" si="16"/>
        <v>-0.8018889607782641</v>
      </c>
      <c r="U127">
        <v>-1.7031492428777912</v>
      </c>
      <c r="V127">
        <f t="shared" si="17"/>
        <v>-0.90126028209952713</v>
      </c>
    </row>
    <row r="128" spans="1:22" x14ac:dyDescent="0.2">
      <c r="A128">
        <f t="shared" si="18"/>
        <v>127</v>
      </c>
      <c r="B128" s="2">
        <f t="shared" si="19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6">
        <v>4.5999999999999996</v>
      </c>
      <c r="H128" s="5">
        <v>10</v>
      </c>
      <c r="I128" s="7" t="s">
        <v>20</v>
      </c>
      <c r="J128" s="8" t="s">
        <v>18</v>
      </c>
      <c r="K128">
        <v>283</v>
      </c>
      <c r="L128">
        <v>73.219283176838076</v>
      </c>
      <c r="M128">
        <v>73.899008308163403</v>
      </c>
      <c r="N128">
        <f t="shared" si="20"/>
        <v>0</v>
      </c>
      <c r="O128">
        <f t="shared" si="21"/>
        <v>1</v>
      </c>
      <c r="P128">
        <f t="shared" si="13"/>
        <v>0</v>
      </c>
      <c r="Q128">
        <f t="shared" si="14"/>
        <v>1</v>
      </c>
      <c r="R128">
        <f t="shared" si="15"/>
        <v>0</v>
      </c>
      <c r="S128">
        <v>0</v>
      </c>
      <c r="T128">
        <f t="shared" si="16"/>
        <v>8.9808604793026173E-2</v>
      </c>
      <c r="U128">
        <v>-0.40275885663339661</v>
      </c>
      <c r="V128">
        <f t="shared" si="17"/>
        <v>-0.49256746142642277</v>
      </c>
    </row>
    <row r="129" spans="1:22" x14ac:dyDescent="0.2">
      <c r="A129">
        <f t="shared" si="18"/>
        <v>128</v>
      </c>
      <c r="B129" s="2">
        <f t="shared" si="19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6">
        <v>4.5999999999999996</v>
      </c>
      <c r="H129" s="5">
        <v>10</v>
      </c>
      <c r="I129" s="7" t="s">
        <v>20</v>
      </c>
      <c r="J129" s="8" t="s">
        <v>16</v>
      </c>
      <c r="K129">
        <v>1141</v>
      </c>
      <c r="L129">
        <v>130.14062651273792</v>
      </c>
      <c r="M129">
        <v>130.52426084497833</v>
      </c>
      <c r="N129">
        <f t="shared" si="20"/>
        <v>0</v>
      </c>
      <c r="O129">
        <f t="shared" si="21"/>
        <v>1</v>
      </c>
      <c r="P129">
        <f t="shared" si="13"/>
        <v>0</v>
      </c>
      <c r="Q129">
        <f t="shared" si="14"/>
        <v>1</v>
      </c>
      <c r="R129">
        <f t="shared" si="15"/>
        <v>0</v>
      </c>
      <c r="S129">
        <v>0</v>
      </c>
      <c r="T129">
        <f t="shared" si="16"/>
        <v>-0.72758036639705859</v>
      </c>
      <c r="U129">
        <v>-1.0876744683385136</v>
      </c>
      <c r="V129">
        <f t="shared" si="17"/>
        <v>-0.36009410194145497</v>
      </c>
    </row>
    <row r="130" spans="1:22" x14ac:dyDescent="0.2">
      <c r="A130">
        <f t="shared" si="18"/>
        <v>129</v>
      </c>
      <c r="B130" s="2">
        <f t="shared" si="19"/>
        <v>69</v>
      </c>
      <c r="C130" s="34">
        <v>43836</v>
      </c>
      <c r="D130" s="35">
        <v>0.81380787037037028</v>
      </c>
      <c r="E130" s="36">
        <v>-8.17</v>
      </c>
      <c r="F130" s="36">
        <v>118.52</v>
      </c>
      <c r="G130" s="6">
        <v>4.4000000000000004</v>
      </c>
      <c r="H130" s="36">
        <v>14</v>
      </c>
      <c r="I130" s="7" t="s">
        <v>20</v>
      </c>
      <c r="J130" s="8" t="s">
        <v>12</v>
      </c>
      <c r="K130">
        <v>386</v>
      </c>
      <c r="L130">
        <v>45.650378932391213</v>
      </c>
      <c r="M130">
        <v>47.748896287463104</v>
      </c>
      <c r="N130">
        <f t="shared" ref="N130:N157" si="22">IF(I130="normal",1,0)</f>
        <v>0</v>
      </c>
      <c r="O130">
        <f t="shared" ref="O130:O157" si="23">IF(I130="reverse",1,0)</f>
        <v>1</v>
      </c>
      <c r="P130">
        <f t="shared" si="13"/>
        <v>0</v>
      </c>
      <c r="Q130">
        <f t="shared" si="14"/>
        <v>1</v>
      </c>
      <c r="R130">
        <f t="shared" si="15"/>
        <v>0</v>
      </c>
      <c r="S130">
        <v>0</v>
      </c>
      <c r="T130">
        <f t="shared" si="16"/>
        <v>1.8528816995446604E-2</v>
      </c>
      <c r="U130">
        <v>-0.5803445303939424</v>
      </c>
      <c r="V130">
        <f t="shared" si="17"/>
        <v>-0.59887334738938902</v>
      </c>
    </row>
    <row r="131" spans="1:22" x14ac:dyDescent="0.2">
      <c r="A131">
        <f t="shared" si="18"/>
        <v>130</v>
      </c>
      <c r="B131" s="2">
        <f t="shared" si="19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6">
        <v>4.4000000000000004</v>
      </c>
      <c r="H131" s="5">
        <v>14</v>
      </c>
      <c r="I131" s="7" t="s">
        <v>20</v>
      </c>
      <c r="J131" s="8" t="s">
        <v>13</v>
      </c>
      <c r="K131">
        <v>290</v>
      </c>
      <c r="L131">
        <v>43.516837554768216</v>
      </c>
      <c r="M131">
        <v>45.713402310133134</v>
      </c>
      <c r="N131">
        <f t="shared" si="22"/>
        <v>0</v>
      </c>
      <c r="O131">
        <f t="shared" si="23"/>
        <v>1</v>
      </c>
      <c r="P131">
        <f t="shared" ref="P131:P157" si="24">IF(I131="strike slip",1,0)</f>
        <v>0</v>
      </c>
      <c r="Q131">
        <f t="shared" ref="Q131:Q157" si="25">IF(G131&gt;$X$3,0,1)</f>
        <v>1</v>
      </c>
      <c r="R131">
        <f t="shared" ref="R131:R157" si="26">IF(G131&gt;$X$3,1,0)</f>
        <v>0</v>
      </c>
      <c r="S131">
        <v>0</v>
      </c>
      <c r="T131">
        <f t="shared" ref="T131:T157" si="27">$X$6+($X$7+$X$8*(G131-$X$2))*LOG10((SQRT((M131^2)+($X$9^2))/$X$4))-$X$10*(SQRT((M131^2)+($X$9^2))-$X$4)+Q131*$X$11*(G131-$X$3)+Q131*$X$12*((G131-$X$3)^2)+R131*$X$13*(G131-$X$3)+$X$14*LOG10(K131/$X$5)+$X$15*N131+$X$16*O131+$X$17*P131</f>
        <v>0.14221582236829716</v>
      </c>
      <c r="U131">
        <v>-0.30649034258805385</v>
      </c>
      <c r="V131">
        <f t="shared" ref="V131:V157" si="28">U131-T131</f>
        <v>-0.44870616495635102</v>
      </c>
    </row>
    <row r="132" spans="1:22" x14ac:dyDescent="0.2">
      <c r="A132">
        <f t="shared" ref="A132:A157" si="29">A131+1</f>
        <v>131</v>
      </c>
      <c r="B132" s="2">
        <f t="shared" si="19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6">
        <v>4.4000000000000004</v>
      </c>
      <c r="H132" s="5">
        <v>14</v>
      </c>
      <c r="I132" s="7" t="s">
        <v>20</v>
      </c>
      <c r="J132" s="8" t="s">
        <v>18</v>
      </c>
      <c r="K132">
        <v>283</v>
      </c>
      <c r="L132">
        <v>127.96159236009052</v>
      </c>
      <c r="M132">
        <v>128.72516894271291</v>
      </c>
      <c r="N132">
        <f t="shared" si="22"/>
        <v>0</v>
      </c>
      <c r="O132">
        <f t="shared" si="23"/>
        <v>1</v>
      </c>
      <c r="P132">
        <f t="shared" si="24"/>
        <v>0</v>
      </c>
      <c r="Q132">
        <f t="shared" si="25"/>
        <v>1</v>
      </c>
      <c r="R132">
        <f t="shared" si="26"/>
        <v>0</v>
      </c>
      <c r="S132">
        <v>1</v>
      </c>
      <c r="T132">
        <f t="shared" si="27"/>
        <v>-0.46909825737548055</v>
      </c>
      <c r="U132">
        <v>-0.72233983527333911</v>
      </c>
      <c r="V132">
        <f t="shared" si="28"/>
        <v>-0.25324157789785856</v>
      </c>
    </row>
    <row r="133" spans="1:22" x14ac:dyDescent="0.2">
      <c r="A133" s="11">
        <f t="shared" si="29"/>
        <v>132</v>
      </c>
      <c r="B133" s="12">
        <f t="shared" si="19"/>
        <v>69</v>
      </c>
      <c r="C133" s="13">
        <v>43836</v>
      </c>
      <c r="D133" s="14">
        <v>0.81380787037037028</v>
      </c>
      <c r="E133" s="15">
        <v>-8.17</v>
      </c>
      <c r="F133" s="15">
        <v>118.52</v>
      </c>
      <c r="G133" s="16">
        <v>4.4000000000000004</v>
      </c>
      <c r="H133" s="15">
        <v>14</v>
      </c>
      <c r="I133" s="17" t="s">
        <v>20</v>
      </c>
      <c r="J133" s="18" t="s">
        <v>16</v>
      </c>
      <c r="K133">
        <v>1141</v>
      </c>
      <c r="L133">
        <v>192.61618215084559</v>
      </c>
      <c r="M133">
        <v>193.12429579513741</v>
      </c>
      <c r="N133">
        <f t="shared" si="22"/>
        <v>0</v>
      </c>
      <c r="O133">
        <f t="shared" si="23"/>
        <v>1</v>
      </c>
      <c r="P133">
        <f t="shared" si="24"/>
        <v>0</v>
      </c>
      <c r="Q133">
        <f t="shared" si="25"/>
        <v>1</v>
      </c>
      <c r="R133">
        <f t="shared" si="26"/>
        <v>0</v>
      </c>
      <c r="S133">
        <v>0</v>
      </c>
      <c r="T133">
        <f t="shared" si="27"/>
        <v>-1.1886682101366348</v>
      </c>
      <c r="U133">
        <v>-1.6471623631558252</v>
      </c>
      <c r="V133">
        <f t="shared" si="28"/>
        <v>-0.45849415301919039</v>
      </c>
    </row>
    <row r="134" spans="1:22" x14ac:dyDescent="0.2">
      <c r="A134">
        <f t="shared" si="29"/>
        <v>133</v>
      </c>
      <c r="B134" s="2">
        <f t="shared" si="19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6">
        <v>4.4000000000000004</v>
      </c>
      <c r="H134" s="5">
        <v>26</v>
      </c>
      <c r="I134" s="7" t="s">
        <v>20</v>
      </c>
      <c r="J134" s="8" t="s">
        <v>13</v>
      </c>
      <c r="K134">
        <v>290</v>
      </c>
      <c r="L134">
        <v>93.582452874927512</v>
      </c>
      <c r="M134">
        <v>97.127109944072913</v>
      </c>
      <c r="N134">
        <f t="shared" si="22"/>
        <v>0</v>
      </c>
      <c r="O134">
        <f t="shared" si="23"/>
        <v>1</v>
      </c>
      <c r="P134">
        <f t="shared" si="24"/>
        <v>0</v>
      </c>
      <c r="Q134">
        <f t="shared" si="25"/>
        <v>1</v>
      </c>
      <c r="R134">
        <f t="shared" si="26"/>
        <v>0</v>
      </c>
      <c r="S134">
        <v>0</v>
      </c>
      <c r="T134">
        <f t="shared" si="27"/>
        <v>-0.30861876646681413</v>
      </c>
      <c r="U134">
        <v>-0.82825835787141244</v>
      </c>
      <c r="V134">
        <f t="shared" si="28"/>
        <v>-0.51963959140459837</v>
      </c>
    </row>
    <row r="135" spans="1:22" x14ac:dyDescent="0.2">
      <c r="A135" s="11">
        <f t="shared" si="29"/>
        <v>134</v>
      </c>
      <c r="B135" s="12">
        <f t="shared" ref="B135:B157" si="30">IF(D135=D134,B134,B134+1)</f>
        <v>70</v>
      </c>
      <c r="C135" s="13">
        <v>43879</v>
      </c>
      <c r="D135" s="14">
        <v>0.60881944444444447</v>
      </c>
      <c r="E135" s="15">
        <v>-7.83</v>
      </c>
      <c r="F135" s="15">
        <v>118.82</v>
      </c>
      <c r="G135" s="16">
        <v>4.4000000000000004</v>
      </c>
      <c r="H135" s="15">
        <v>26</v>
      </c>
      <c r="I135" s="17" t="s">
        <v>20</v>
      </c>
      <c r="J135" s="18" t="s">
        <v>16</v>
      </c>
      <c r="K135">
        <v>1141</v>
      </c>
      <c r="L135">
        <v>237.77709132514747</v>
      </c>
      <c r="M135">
        <v>239.19436690492424</v>
      </c>
      <c r="N135">
        <f t="shared" si="22"/>
        <v>0</v>
      </c>
      <c r="O135">
        <f t="shared" si="23"/>
        <v>1</v>
      </c>
      <c r="P135">
        <f t="shared" si="24"/>
        <v>0</v>
      </c>
      <c r="Q135">
        <f t="shared" si="25"/>
        <v>1</v>
      </c>
      <c r="R135">
        <f t="shared" si="26"/>
        <v>0</v>
      </c>
      <c r="S135">
        <v>1</v>
      </c>
      <c r="T135">
        <f t="shared" si="27"/>
        <v>-1.3169962097759742</v>
      </c>
      <c r="U135">
        <v>-1.8784436304301939</v>
      </c>
      <c r="V135">
        <f t="shared" si="28"/>
        <v>-0.56144742065421971</v>
      </c>
    </row>
    <row r="136" spans="1:22" x14ac:dyDescent="0.2">
      <c r="A136">
        <f t="shared" si="29"/>
        <v>135</v>
      </c>
      <c r="B136" s="2">
        <f t="shared" si="30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6">
        <v>3.6</v>
      </c>
      <c r="H136" s="5">
        <v>10</v>
      </c>
      <c r="I136" s="7" t="s">
        <v>20</v>
      </c>
      <c r="J136" s="8" t="s">
        <v>13</v>
      </c>
      <c r="K136">
        <v>290</v>
      </c>
      <c r="L136">
        <v>191.64887216059438</v>
      </c>
      <c r="M136">
        <v>191.90958860991768</v>
      </c>
      <c r="N136">
        <f t="shared" si="22"/>
        <v>0</v>
      </c>
      <c r="O136">
        <f t="shared" si="23"/>
        <v>1</v>
      </c>
      <c r="P136">
        <f t="shared" si="24"/>
        <v>0</v>
      </c>
      <c r="Q136">
        <f t="shared" si="25"/>
        <v>1</v>
      </c>
      <c r="R136">
        <f t="shared" si="26"/>
        <v>0</v>
      </c>
      <c r="S136">
        <v>0</v>
      </c>
      <c r="T136">
        <f t="shared" si="27"/>
        <v>-1.7226895128203126</v>
      </c>
      <c r="U136">
        <v>-1.628645402077916</v>
      </c>
      <c r="V136">
        <f t="shared" si="28"/>
        <v>9.4044110742396603E-2</v>
      </c>
    </row>
    <row r="137" spans="1:22" x14ac:dyDescent="0.2">
      <c r="A137">
        <f t="shared" si="29"/>
        <v>136</v>
      </c>
      <c r="B137" s="2">
        <f t="shared" si="30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6">
        <v>3.6</v>
      </c>
      <c r="H137" s="5">
        <v>10</v>
      </c>
      <c r="I137" s="7" t="s">
        <v>20</v>
      </c>
      <c r="J137" s="8" t="s">
        <v>16</v>
      </c>
      <c r="K137">
        <v>1141</v>
      </c>
      <c r="L137">
        <v>49.632687466105466</v>
      </c>
      <c r="M137">
        <v>50.63006680923997</v>
      </c>
      <c r="N137">
        <f t="shared" si="22"/>
        <v>0</v>
      </c>
      <c r="O137">
        <f t="shared" si="23"/>
        <v>1</v>
      </c>
      <c r="P137">
        <f t="shared" si="24"/>
        <v>0</v>
      </c>
      <c r="Q137">
        <f t="shared" si="25"/>
        <v>1</v>
      </c>
      <c r="R137">
        <f t="shared" si="26"/>
        <v>0</v>
      </c>
      <c r="S137">
        <v>1</v>
      </c>
      <c r="T137">
        <f t="shared" si="27"/>
        <v>-1.3945747123188266</v>
      </c>
      <c r="U137">
        <v>-1.7303280740390876</v>
      </c>
      <c r="V137">
        <f t="shared" si="28"/>
        <v>-0.33575336172026105</v>
      </c>
    </row>
    <row r="138" spans="1:22" x14ac:dyDescent="0.2">
      <c r="A138">
        <f t="shared" si="29"/>
        <v>137</v>
      </c>
      <c r="B138" s="2">
        <f t="shared" si="30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6">
        <v>3.8</v>
      </c>
      <c r="H138" s="5">
        <v>12</v>
      </c>
      <c r="I138" s="7" t="s">
        <v>20</v>
      </c>
      <c r="J138" s="8" t="s">
        <v>13</v>
      </c>
      <c r="K138">
        <v>290</v>
      </c>
      <c r="L138">
        <v>231.58708017250825</v>
      </c>
      <c r="M138">
        <v>231.89776993931565</v>
      </c>
      <c r="N138">
        <f t="shared" si="22"/>
        <v>0</v>
      </c>
      <c r="O138">
        <f t="shared" si="23"/>
        <v>1</v>
      </c>
      <c r="P138">
        <f t="shared" si="24"/>
        <v>0</v>
      </c>
      <c r="Q138">
        <f t="shared" si="25"/>
        <v>1</v>
      </c>
      <c r="R138">
        <f t="shared" si="26"/>
        <v>0</v>
      </c>
      <c r="S138">
        <v>1</v>
      </c>
      <c r="T138">
        <f t="shared" si="27"/>
        <v>-1.5692856266009902</v>
      </c>
      <c r="U138">
        <v>-1.8121308477928986</v>
      </c>
      <c r="V138">
        <f t="shared" si="28"/>
        <v>-0.24284522119190832</v>
      </c>
    </row>
    <row r="139" spans="1:22" x14ac:dyDescent="0.2">
      <c r="A139">
        <f t="shared" si="29"/>
        <v>138</v>
      </c>
      <c r="B139" s="2">
        <f t="shared" si="30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6">
        <v>3.8</v>
      </c>
      <c r="H139" s="5">
        <v>12</v>
      </c>
      <c r="I139" s="7" t="s">
        <v>20</v>
      </c>
      <c r="J139" s="8" t="s">
        <v>14</v>
      </c>
      <c r="K139">
        <v>210</v>
      </c>
      <c r="L139">
        <v>23.286409728284827</v>
      </c>
      <c r="M139">
        <v>26.196505072882495</v>
      </c>
      <c r="N139">
        <f t="shared" si="22"/>
        <v>0</v>
      </c>
      <c r="O139">
        <f t="shared" si="23"/>
        <v>1</v>
      </c>
      <c r="P139">
        <f t="shared" si="24"/>
        <v>0</v>
      </c>
      <c r="Q139">
        <f t="shared" si="25"/>
        <v>1</v>
      </c>
      <c r="R139">
        <f t="shared" si="26"/>
        <v>0</v>
      </c>
      <c r="S139">
        <v>0</v>
      </c>
      <c r="T139">
        <f t="shared" si="27"/>
        <v>-0.15832287260642514</v>
      </c>
      <c r="U139">
        <v>-0.92194449260409761</v>
      </c>
      <c r="V139">
        <f t="shared" si="28"/>
        <v>-0.76362161999767242</v>
      </c>
    </row>
    <row r="140" spans="1:22" x14ac:dyDescent="0.2">
      <c r="A140">
        <f t="shared" si="29"/>
        <v>139</v>
      </c>
      <c r="B140" s="2">
        <f t="shared" si="30"/>
        <v>72</v>
      </c>
      <c r="C140" s="33">
        <v>43892</v>
      </c>
      <c r="D140" s="4">
        <v>0.968287037037037</v>
      </c>
      <c r="E140" s="5">
        <v>-8.4</v>
      </c>
      <c r="F140" s="5">
        <v>116.23</v>
      </c>
      <c r="G140" s="6">
        <v>3.8</v>
      </c>
      <c r="H140" s="5">
        <v>12</v>
      </c>
      <c r="I140" s="2" t="s">
        <v>20</v>
      </c>
      <c r="J140" s="8" t="s">
        <v>15</v>
      </c>
      <c r="K140">
        <v>770</v>
      </c>
      <c r="L140">
        <v>41.034935023077367</v>
      </c>
      <c r="M140">
        <v>42.753548301260111</v>
      </c>
      <c r="N140">
        <f t="shared" si="22"/>
        <v>0</v>
      </c>
      <c r="O140">
        <f t="shared" si="23"/>
        <v>1</v>
      </c>
      <c r="P140">
        <f t="shared" si="24"/>
        <v>0</v>
      </c>
      <c r="Q140">
        <f t="shared" si="25"/>
        <v>1</v>
      </c>
      <c r="R140">
        <f t="shared" si="26"/>
        <v>0</v>
      </c>
      <c r="S140">
        <v>0</v>
      </c>
      <c r="T140">
        <f t="shared" si="27"/>
        <v>-0.89229315806774112</v>
      </c>
      <c r="U140">
        <v>-1.6665057590469752</v>
      </c>
      <c r="V140">
        <f t="shared" si="28"/>
        <v>-0.77421260097923406</v>
      </c>
    </row>
    <row r="141" spans="1:22" x14ac:dyDescent="0.2">
      <c r="A141">
        <f t="shared" si="29"/>
        <v>140</v>
      </c>
      <c r="B141" s="2">
        <f t="shared" si="30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6">
        <v>3.8</v>
      </c>
      <c r="H141" s="5">
        <v>12</v>
      </c>
      <c r="I141" s="7" t="s">
        <v>20</v>
      </c>
      <c r="J141" s="8" t="s">
        <v>18</v>
      </c>
      <c r="K141">
        <v>283</v>
      </c>
      <c r="L141">
        <v>131.79443249974477</v>
      </c>
      <c r="M141">
        <v>132.33961023793964</v>
      </c>
      <c r="N141">
        <f t="shared" si="22"/>
        <v>0</v>
      </c>
      <c r="O141">
        <f t="shared" si="23"/>
        <v>1</v>
      </c>
      <c r="P141">
        <f t="shared" si="24"/>
        <v>0</v>
      </c>
      <c r="Q141">
        <f t="shared" si="25"/>
        <v>1</v>
      </c>
      <c r="R141">
        <f t="shared" si="26"/>
        <v>0</v>
      </c>
      <c r="S141">
        <v>1</v>
      </c>
      <c r="T141">
        <f t="shared" si="27"/>
        <v>-1.2251934050612958</v>
      </c>
      <c r="U141">
        <v>-1.3172906726886744</v>
      </c>
      <c r="V141">
        <f t="shared" si="28"/>
        <v>-9.2097267627378576E-2</v>
      </c>
    </row>
    <row r="142" spans="1:22" x14ac:dyDescent="0.2">
      <c r="A142">
        <f t="shared" si="29"/>
        <v>141</v>
      </c>
      <c r="B142" s="2">
        <f t="shared" si="30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6">
        <v>3.8</v>
      </c>
      <c r="H142" s="5">
        <v>12</v>
      </c>
      <c r="I142" s="7" t="s">
        <v>20</v>
      </c>
      <c r="J142" s="8" t="s">
        <v>16</v>
      </c>
      <c r="K142">
        <v>1141</v>
      </c>
      <c r="L142">
        <v>81.597304805416869</v>
      </c>
      <c r="M142">
        <v>82.474966817259812</v>
      </c>
      <c r="N142">
        <f t="shared" si="22"/>
        <v>0</v>
      </c>
      <c r="O142">
        <f t="shared" si="23"/>
        <v>1</v>
      </c>
      <c r="P142">
        <f t="shared" si="24"/>
        <v>0</v>
      </c>
      <c r="Q142">
        <f t="shared" si="25"/>
        <v>1</v>
      </c>
      <c r="R142">
        <f t="shared" si="26"/>
        <v>0</v>
      </c>
      <c r="S142">
        <v>1</v>
      </c>
      <c r="T142">
        <f t="shared" si="27"/>
        <v>-1.4186604502137556</v>
      </c>
      <c r="U142">
        <v>-1.8997373523157781</v>
      </c>
      <c r="V142">
        <f t="shared" si="28"/>
        <v>-0.48107690210202247</v>
      </c>
    </row>
    <row r="143" spans="1:22" x14ac:dyDescent="0.2">
      <c r="A143">
        <f t="shared" si="29"/>
        <v>142</v>
      </c>
      <c r="B143" s="2">
        <f t="shared" si="30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6">
        <v>4.2</v>
      </c>
      <c r="H143" s="5">
        <v>16</v>
      </c>
      <c r="I143" s="7" t="s">
        <v>20</v>
      </c>
      <c r="J143" s="8" t="s">
        <v>13</v>
      </c>
      <c r="K143">
        <v>290</v>
      </c>
      <c r="L143">
        <v>236.87368372963641</v>
      </c>
      <c r="M143">
        <v>237.41344116045286</v>
      </c>
      <c r="N143">
        <f t="shared" si="22"/>
        <v>0</v>
      </c>
      <c r="O143">
        <f t="shared" si="23"/>
        <v>1</v>
      </c>
      <c r="P143">
        <f t="shared" si="24"/>
        <v>0</v>
      </c>
      <c r="Q143">
        <f t="shared" si="25"/>
        <v>1</v>
      </c>
      <c r="R143">
        <f t="shared" si="26"/>
        <v>0</v>
      </c>
      <c r="S143">
        <v>1</v>
      </c>
      <c r="T143">
        <f t="shared" si="27"/>
        <v>-1.0806439618252239</v>
      </c>
      <c r="U143">
        <v>-1.2650516467842596</v>
      </c>
      <c r="V143">
        <f t="shared" si="28"/>
        <v>-0.1844076849590357</v>
      </c>
    </row>
    <row r="144" spans="1:22" x14ac:dyDescent="0.2">
      <c r="A144">
        <f t="shared" si="29"/>
        <v>143</v>
      </c>
      <c r="B144" s="2">
        <f t="shared" si="30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6">
        <v>4.2</v>
      </c>
      <c r="H144" s="5">
        <v>16</v>
      </c>
      <c r="I144" s="7" t="s">
        <v>20</v>
      </c>
      <c r="J144" s="8" t="s">
        <v>18</v>
      </c>
      <c r="K144">
        <v>283</v>
      </c>
      <c r="L144">
        <v>138.25826990140519</v>
      </c>
      <c r="M144">
        <v>139.18099437829076</v>
      </c>
      <c r="N144">
        <f t="shared" si="22"/>
        <v>0</v>
      </c>
      <c r="O144">
        <f t="shared" si="23"/>
        <v>1</v>
      </c>
      <c r="P144">
        <f t="shared" si="24"/>
        <v>0</v>
      </c>
      <c r="Q144">
        <f t="shared" si="25"/>
        <v>1</v>
      </c>
      <c r="R144">
        <f t="shared" si="26"/>
        <v>0</v>
      </c>
      <c r="S144">
        <v>1</v>
      </c>
      <c r="T144">
        <f t="shared" si="27"/>
        <v>-0.75222127977779196</v>
      </c>
      <c r="U144">
        <v>-0.98527076593073637</v>
      </c>
      <c r="V144">
        <f t="shared" si="28"/>
        <v>-0.23304948615294441</v>
      </c>
    </row>
    <row r="145" spans="1:22" x14ac:dyDescent="0.2">
      <c r="A145">
        <f t="shared" si="29"/>
        <v>144</v>
      </c>
      <c r="B145" s="2">
        <f t="shared" si="30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6">
        <v>4.8</v>
      </c>
      <c r="H145" s="5">
        <v>10</v>
      </c>
      <c r="I145" s="7" t="s">
        <v>20</v>
      </c>
      <c r="J145" s="8" t="s">
        <v>13</v>
      </c>
      <c r="K145">
        <v>290</v>
      </c>
      <c r="L145">
        <v>160.37359502632646</v>
      </c>
      <c r="M145">
        <v>160.68506458805734</v>
      </c>
      <c r="N145">
        <f t="shared" si="22"/>
        <v>0</v>
      </c>
      <c r="O145">
        <f t="shared" si="23"/>
        <v>1</v>
      </c>
      <c r="P145">
        <f t="shared" si="24"/>
        <v>0</v>
      </c>
      <c r="Q145">
        <f t="shared" si="25"/>
        <v>1</v>
      </c>
      <c r="R145">
        <f t="shared" si="26"/>
        <v>0</v>
      </c>
      <c r="S145">
        <v>0</v>
      </c>
      <c r="T145">
        <f t="shared" si="27"/>
        <v>-0.16847790580311356</v>
      </c>
      <c r="U145">
        <v>-0.35015034529011496</v>
      </c>
      <c r="V145">
        <f t="shared" si="28"/>
        <v>-0.1816724394870014</v>
      </c>
    </row>
    <row r="146" spans="1:22" x14ac:dyDescent="0.2">
      <c r="A146">
        <f t="shared" si="29"/>
        <v>145</v>
      </c>
      <c r="B146" s="2">
        <f t="shared" si="30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6">
        <v>3.5</v>
      </c>
      <c r="H146" s="5">
        <v>10</v>
      </c>
      <c r="I146" s="7" t="s">
        <v>20</v>
      </c>
      <c r="J146" s="8" t="s">
        <v>13</v>
      </c>
      <c r="K146">
        <v>290</v>
      </c>
      <c r="L146">
        <v>92.159817959932795</v>
      </c>
      <c r="M146">
        <v>92.700766158689063</v>
      </c>
      <c r="N146">
        <f t="shared" si="22"/>
        <v>0</v>
      </c>
      <c r="O146">
        <f t="shared" si="23"/>
        <v>1</v>
      </c>
      <c r="P146">
        <f t="shared" si="24"/>
        <v>0</v>
      </c>
      <c r="Q146">
        <f t="shared" si="25"/>
        <v>1</v>
      </c>
      <c r="R146">
        <f t="shared" si="26"/>
        <v>0</v>
      </c>
      <c r="S146">
        <v>0</v>
      </c>
      <c r="T146">
        <f t="shared" si="27"/>
        <v>-1.4248932941539858</v>
      </c>
      <c r="U146">
        <v>-1.3882047002814315</v>
      </c>
      <c r="V146">
        <f t="shared" si="28"/>
        <v>3.6688593872554298E-2</v>
      </c>
    </row>
    <row r="147" spans="1:22" x14ac:dyDescent="0.2">
      <c r="A147">
        <f t="shared" si="29"/>
        <v>146</v>
      </c>
      <c r="B147" s="2">
        <f t="shared" si="30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6">
        <v>3.5</v>
      </c>
      <c r="H147" s="5">
        <v>10</v>
      </c>
      <c r="I147" s="7" t="s">
        <v>20</v>
      </c>
      <c r="J147" s="8" t="s">
        <v>16</v>
      </c>
      <c r="K147">
        <v>1141</v>
      </c>
      <c r="L147">
        <v>85.711155793911104</v>
      </c>
      <c r="M147">
        <v>86.292538655019882</v>
      </c>
      <c r="N147">
        <f t="shared" si="22"/>
        <v>0</v>
      </c>
      <c r="O147">
        <f t="shared" si="23"/>
        <v>1</v>
      </c>
      <c r="P147">
        <f t="shared" si="24"/>
        <v>0</v>
      </c>
      <c r="Q147">
        <f t="shared" si="25"/>
        <v>1</v>
      </c>
      <c r="R147">
        <f t="shared" si="26"/>
        <v>0</v>
      </c>
      <c r="S147">
        <v>0</v>
      </c>
      <c r="T147">
        <f t="shared" si="27"/>
        <v>-1.8500628554869474</v>
      </c>
      <c r="U147">
        <v>-2.0798130762070972</v>
      </c>
      <c r="V147">
        <f t="shared" si="28"/>
        <v>-0.22975022072014983</v>
      </c>
    </row>
    <row r="148" spans="1:22" x14ac:dyDescent="0.2">
      <c r="A148">
        <f t="shared" si="29"/>
        <v>147</v>
      </c>
      <c r="B148" s="2">
        <f t="shared" si="30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6">
        <v>4.2</v>
      </c>
      <c r="H148" s="5">
        <v>10</v>
      </c>
      <c r="I148" s="7" t="s">
        <v>20</v>
      </c>
      <c r="J148" s="8" t="s">
        <v>13</v>
      </c>
      <c r="K148">
        <v>290</v>
      </c>
      <c r="L148">
        <v>190.05302625038044</v>
      </c>
      <c r="M148">
        <v>190.31592888386353</v>
      </c>
      <c r="N148">
        <f t="shared" si="22"/>
        <v>0</v>
      </c>
      <c r="O148">
        <f t="shared" si="23"/>
        <v>1</v>
      </c>
      <c r="P148">
        <f t="shared" si="24"/>
        <v>0</v>
      </c>
      <c r="Q148">
        <f t="shared" si="25"/>
        <v>1</v>
      </c>
      <c r="R148">
        <f t="shared" si="26"/>
        <v>0</v>
      </c>
      <c r="S148">
        <v>0</v>
      </c>
      <c r="T148">
        <f t="shared" si="27"/>
        <v>-0.94809989758432744</v>
      </c>
      <c r="U148">
        <v>-1.313896282240465</v>
      </c>
      <c r="V148">
        <f t="shared" si="28"/>
        <v>-0.36579638465613751</v>
      </c>
    </row>
    <row r="149" spans="1:22" x14ac:dyDescent="0.2">
      <c r="A149">
        <f t="shared" si="29"/>
        <v>148</v>
      </c>
      <c r="B149" s="2">
        <f t="shared" si="30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6">
        <v>4.2</v>
      </c>
      <c r="H149" s="5">
        <v>10</v>
      </c>
      <c r="I149" s="7" t="s">
        <v>20</v>
      </c>
      <c r="J149" s="8" t="s">
        <v>16</v>
      </c>
      <c r="K149">
        <v>1141</v>
      </c>
      <c r="L149">
        <v>61.54635269622478</v>
      </c>
      <c r="M149">
        <v>62.353456441548573</v>
      </c>
      <c r="N149">
        <f t="shared" si="22"/>
        <v>0</v>
      </c>
      <c r="O149">
        <f t="shared" si="23"/>
        <v>1</v>
      </c>
      <c r="P149">
        <f t="shared" si="24"/>
        <v>0</v>
      </c>
      <c r="Q149">
        <f t="shared" si="25"/>
        <v>1</v>
      </c>
      <c r="R149">
        <f t="shared" si="26"/>
        <v>0</v>
      </c>
      <c r="S149">
        <v>0</v>
      </c>
      <c r="T149">
        <f t="shared" si="27"/>
        <v>-0.74781777858137066</v>
      </c>
      <c r="U149">
        <v>-1.1144658823748295</v>
      </c>
      <c r="V149">
        <f t="shared" si="28"/>
        <v>-0.3666481037934588</v>
      </c>
    </row>
    <row r="150" spans="1:22" x14ac:dyDescent="0.2">
      <c r="A150">
        <f t="shared" si="29"/>
        <v>149</v>
      </c>
      <c r="B150" s="2">
        <f t="shared" si="30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6">
        <v>3.9</v>
      </c>
      <c r="H150" s="5">
        <v>10</v>
      </c>
      <c r="I150" s="7" t="s">
        <v>20</v>
      </c>
      <c r="J150" s="8" t="s">
        <v>13</v>
      </c>
      <c r="K150">
        <v>290</v>
      </c>
      <c r="L150">
        <v>107.68058281077444</v>
      </c>
      <c r="M150">
        <v>108.14392222620766</v>
      </c>
      <c r="N150">
        <f t="shared" si="22"/>
        <v>0</v>
      </c>
      <c r="O150">
        <f t="shared" si="23"/>
        <v>1</v>
      </c>
      <c r="P150">
        <f t="shared" si="24"/>
        <v>0</v>
      </c>
      <c r="Q150">
        <f t="shared" si="25"/>
        <v>1</v>
      </c>
      <c r="R150">
        <f t="shared" si="26"/>
        <v>0</v>
      </c>
      <c r="S150">
        <v>0</v>
      </c>
      <c r="T150">
        <f t="shared" si="27"/>
        <v>-0.98308888492222413</v>
      </c>
      <c r="U150">
        <v>-1.1390494233866311</v>
      </c>
      <c r="V150">
        <f t="shared" si="28"/>
        <v>-0.15596053846440694</v>
      </c>
    </row>
    <row r="151" spans="1:22" x14ac:dyDescent="0.2">
      <c r="A151" s="11">
        <f t="shared" si="29"/>
        <v>150</v>
      </c>
      <c r="B151" s="12">
        <f t="shared" si="30"/>
        <v>78</v>
      </c>
      <c r="C151" s="13">
        <v>44176</v>
      </c>
      <c r="D151" s="14">
        <v>0.53548611111182254</v>
      </c>
      <c r="E151" s="15">
        <v>-8.27</v>
      </c>
      <c r="F151" s="15">
        <v>116.53</v>
      </c>
      <c r="G151" s="16">
        <v>3.9</v>
      </c>
      <c r="H151" s="15">
        <v>11</v>
      </c>
      <c r="I151" s="17" t="s">
        <v>20</v>
      </c>
      <c r="J151" s="18" t="s">
        <v>13</v>
      </c>
      <c r="K151">
        <v>290</v>
      </c>
      <c r="L151">
        <v>199.64956279833908</v>
      </c>
      <c r="M151">
        <v>199.95236414098218</v>
      </c>
      <c r="N151">
        <f t="shared" si="22"/>
        <v>0</v>
      </c>
      <c r="O151">
        <f t="shared" si="23"/>
        <v>1</v>
      </c>
      <c r="P151">
        <f t="shared" si="24"/>
        <v>0</v>
      </c>
      <c r="Q151">
        <f t="shared" si="25"/>
        <v>1</v>
      </c>
      <c r="R151">
        <f t="shared" si="26"/>
        <v>0</v>
      </c>
      <c r="S151">
        <v>0</v>
      </c>
      <c r="T151">
        <f t="shared" si="27"/>
        <v>-1.3510262968348588</v>
      </c>
      <c r="U151">
        <v>-1.9670866392645061</v>
      </c>
      <c r="V151">
        <f t="shared" si="28"/>
        <v>-0.61606034242964736</v>
      </c>
    </row>
    <row r="152" spans="1:22" x14ac:dyDescent="0.2">
      <c r="A152">
        <f t="shared" si="29"/>
        <v>151</v>
      </c>
      <c r="B152" s="2">
        <f t="shared" si="30"/>
        <v>79</v>
      </c>
      <c r="C152" s="34">
        <v>44274</v>
      </c>
      <c r="D152" s="35">
        <v>0.68978009259444661</v>
      </c>
      <c r="E152" s="36">
        <v>-7.83</v>
      </c>
      <c r="F152" s="36">
        <v>118.78</v>
      </c>
      <c r="G152" s="6">
        <v>4.5</v>
      </c>
      <c r="H152" s="36">
        <v>26</v>
      </c>
      <c r="I152" s="7" t="s">
        <v>20</v>
      </c>
      <c r="J152" s="8" t="s">
        <v>12</v>
      </c>
      <c r="K152">
        <v>386</v>
      </c>
      <c r="L152">
        <v>79.768739281944931</v>
      </c>
      <c r="M152">
        <v>83.899057006803744</v>
      </c>
      <c r="N152">
        <f t="shared" si="22"/>
        <v>0</v>
      </c>
      <c r="O152">
        <f t="shared" si="23"/>
        <v>1</v>
      </c>
      <c r="P152">
        <f t="shared" si="24"/>
        <v>0</v>
      </c>
      <c r="Q152">
        <f t="shared" si="25"/>
        <v>1</v>
      </c>
      <c r="R152">
        <f t="shared" si="26"/>
        <v>0</v>
      </c>
      <c r="S152">
        <v>0</v>
      </c>
      <c r="T152">
        <f t="shared" si="27"/>
        <v>-0.20416653155971187</v>
      </c>
      <c r="U152">
        <v>-0.50976865628821133</v>
      </c>
      <c r="V152">
        <f t="shared" si="28"/>
        <v>-0.30560212472849946</v>
      </c>
    </row>
    <row r="153" spans="1:22" x14ac:dyDescent="0.2">
      <c r="A153">
        <f t="shared" si="29"/>
        <v>152</v>
      </c>
      <c r="B153" s="2">
        <f t="shared" si="30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6">
        <v>4.5</v>
      </c>
      <c r="H153" s="5">
        <v>26</v>
      </c>
      <c r="I153" s="7" t="s">
        <v>20</v>
      </c>
      <c r="J153" s="8" t="s">
        <v>18</v>
      </c>
      <c r="K153">
        <v>283</v>
      </c>
      <c r="L153">
        <v>168.55202854350387</v>
      </c>
      <c r="M153">
        <v>170.54555498789802</v>
      </c>
      <c r="N153">
        <f t="shared" si="22"/>
        <v>0</v>
      </c>
      <c r="O153">
        <f t="shared" si="23"/>
        <v>1</v>
      </c>
      <c r="P153">
        <f t="shared" si="24"/>
        <v>0</v>
      </c>
      <c r="Q153">
        <f t="shared" si="25"/>
        <v>1</v>
      </c>
      <c r="R153">
        <f t="shared" si="26"/>
        <v>0</v>
      </c>
      <c r="S153">
        <v>1</v>
      </c>
      <c r="T153">
        <f t="shared" si="27"/>
        <v>-0.52350164113315933</v>
      </c>
      <c r="U153">
        <v>-0.75874575892795992</v>
      </c>
      <c r="V153">
        <f t="shared" si="28"/>
        <v>-0.23524411779480059</v>
      </c>
    </row>
    <row r="154" spans="1:22" x14ac:dyDescent="0.2">
      <c r="A154" s="11">
        <f t="shared" si="29"/>
        <v>153</v>
      </c>
      <c r="B154" s="12">
        <f t="shared" si="30"/>
        <v>79</v>
      </c>
      <c r="C154" s="13">
        <v>44274</v>
      </c>
      <c r="D154" s="14">
        <v>0.68978009259444661</v>
      </c>
      <c r="E154" s="15">
        <v>-7.83</v>
      </c>
      <c r="F154" s="15">
        <v>118.78</v>
      </c>
      <c r="G154" s="16">
        <v>4.5</v>
      </c>
      <c r="H154" s="15">
        <v>26</v>
      </c>
      <c r="I154" s="17" t="s">
        <v>20</v>
      </c>
      <c r="J154" s="18" t="s">
        <v>16</v>
      </c>
      <c r="K154">
        <v>1141</v>
      </c>
      <c r="L154">
        <v>233.7605677111687</v>
      </c>
      <c r="M154">
        <v>235.20204722035879</v>
      </c>
      <c r="N154">
        <f t="shared" si="22"/>
        <v>0</v>
      </c>
      <c r="O154">
        <f t="shared" si="23"/>
        <v>1</v>
      </c>
      <c r="P154">
        <f t="shared" si="24"/>
        <v>0</v>
      </c>
      <c r="Q154">
        <f t="shared" si="25"/>
        <v>1</v>
      </c>
      <c r="R154">
        <f t="shared" si="26"/>
        <v>0</v>
      </c>
      <c r="S154">
        <v>1</v>
      </c>
      <c r="T154">
        <f t="shared" si="27"/>
        <v>-1.1926709254485652</v>
      </c>
      <c r="U154">
        <v>-1.6678587057349377</v>
      </c>
      <c r="V154">
        <f t="shared" si="28"/>
        <v>-0.47518778028637243</v>
      </c>
    </row>
    <row r="155" spans="1:22" x14ac:dyDescent="0.2">
      <c r="A155">
        <f t="shared" si="29"/>
        <v>154</v>
      </c>
      <c r="B155" s="2">
        <f t="shared" si="30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6">
        <v>3.5</v>
      </c>
      <c r="H155" s="5">
        <v>10</v>
      </c>
      <c r="I155" s="7" t="s">
        <v>20</v>
      </c>
      <c r="J155" s="8" t="s">
        <v>13</v>
      </c>
      <c r="K155">
        <v>290</v>
      </c>
      <c r="L155">
        <v>103.32560484404641</v>
      </c>
      <c r="M155">
        <v>103.80838413340238</v>
      </c>
      <c r="N155">
        <f t="shared" si="22"/>
        <v>0</v>
      </c>
      <c r="O155">
        <f t="shared" si="23"/>
        <v>1</v>
      </c>
      <c r="P155">
        <f t="shared" si="24"/>
        <v>0</v>
      </c>
      <c r="Q155">
        <f t="shared" si="25"/>
        <v>1</v>
      </c>
      <c r="R155">
        <f t="shared" si="26"/>
        <v>0</v>
      </c>
      <c r="S155">
        <v>0</v>
      </c>
      <c r="T155">
        <f t="shared" si="27"/>
        <v>-1.4925087598638431</v>
      </c>
      <c r="U155">
        <v>-1.0582411387281028</v>
      </c>
      <c r="V155">
        <f t="shared" si="28"/>
        <v>0.43426762113574036</v>
      </c>
    </row>
    <row r="156" spans="1:22" x14ac:dyDescent="0.2">
      <c r="A156" s="19">
        <f t="shared" si="29"/>
        <v>155</v>
      </c>
      <c r="B156" s="20">
        <f t="shared" si="30"/>
        <v>81</v>
      </c>
      <c r="C156" s="41">
        <v>43331</v>
      </c>
      <c r="D156" s="42">
        <v>0.62263425925925919</v>
      </c>
      <c r="E156" s="43">
        <v>-8.27</v>
      </c>
      <c r="F156" s="44">
        <v>116.67</v>
      </c>
      <c r="G156" s="45">
        <v>6.9</v>
      </c>
      <c r="H156" s="46">
        <v>22</v>
      </c>
      <c r="I156" s="47" t="s">
        <v>20</v>
      </c>
      <c r="J156" s="26" t="s">
        <v>16</v>
      </c>
      <c r="K156">
        <v>1141</v>
      </c>
      <c r="L156">
        <v>57.090874097075393</v>
      </c>
      <c r="M156">
        <v>61.183068778609936</v>
      </c>
      <c r="N156">
        <f t="shared" si="22"/>
        <v>0</v>
      </c>
      <c r="O156">
        <f t="shared" si="23"/>
        <v>1</v>
      </c>
      <c r="P156">
        <f t="shared" si="24"/>
        <v>0</v>
      </c>
      <c r="Q156">
        <f t="shared" si="25"/>
        <v>0</v>
      </c>
      <c r="R156">
        <f t="shared" si="26"/>
        <v>1</v>
      </c>
      <c r="S156">
        <v>0</v>
      </c>
      <c r="T156">
        <f t="shared" si="27"/>
        <v>1.5854458681892956</v>
      </c>
      <c r="U156">
        <v>1.7253555573981436</v>
      </c>
      <c r="V156">
        <f t="shared" si="28"/>
        <v>0.13990968920884805</v>
      </c>
    </row>
    <row r="157" spans="1:22" x14ac:dyDescent="0.2">
      <c r="A157" s="19">
        <f t="shared" si="29"/>
        <v>156</v>
      </c>
      <c r="B157" s="20">
        <f t="shared" si="30"/>
        <v>81</v>
      </c>
      <c r="C157" s="41">
        <v>43331</v>
      </c>
      <c r="D157" s="42">
        <v>0.62263425925925919</v>
      </c>
      <c r="E157" s="43">
        <v>-8.27</v>
      </c>
      <c r="F157" s="44">
        <v>116.67</v>
      </c>
      <c r="G157" s="45">
        <v>6.9</v>
      </c>
      <c r="H157" s="46">
        <v>22</v>
      </c>
      <c r="I157" s="47" t="s">
        <v>20</v>
      </c>
      <c r="J157" s="26" t="s">
        <v>15</v>
      </c>
      <c r="K157">
        <v>770</v>
      </c>
      <c r="L157">
        <v>70.184466740784501</v>
      </c>
      <c r="M157">
        <v>73.551746217804279</v>
      </c>
      <c r="N157">
        <f t="shared" si="22"/>
        <v>0</v>
      </c>
      <c r="O157">
        <f t="shared" si="23"/>
        <v>1</v>
      </c>
      <c r="P157">
        <f t="shared" si="24"/>
        <v>0</v>
      </c>
      <c r="Q157">
        <f t="shared" si="25"/>
        <v>0</v>
      </c>
      <c r="R157">
        <f t="shared" si="26"/>
        <v>1</v>
      </c>
      <c r="S157">
        <v>1</v>
      </c>
      <c r="T157">
        <f t="shared" si="27"/>
        <v>1.6087214375609289</v>
      </c>
      <c r="U157">
        <v>0.96276312440996192</v>
      </c>
      <c r="V157">
        <f t="shared" si="28"/>
        <v>-0.64595831315096697</v>
      </c>
    </row>
    <row r="158" spans="1:22" x14ac:dyDescent="0.2">
      <c r="A158" s="19"/>
      <c r="B158" s="20"/>
      <c r="C158" s="41"/>
      <c r="D158" s="42"/>
      <c r="E158" s="43"/>
      <c r="F158" s="44"/>
      <c r="G158" s="45"/>
      <c r="H158" s="46"/>
      <c r="I158" s="47"/>
      <c r="J158" s="26"/>
    </row>
  </sheetData>
  <autoFilter ref="K1:K158" xr:uid="{869BF6E7-3645-B848-A5E9-496647D2828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C8E3-CB80-7949-9A55-3FF00C7356C8}">
  <dimension ref="A1:X158"/>
  <sheetViews>
    <sheetView topLeftCell="A148" workbookViewId="0">
      <selection activeCell="A157" sqref="A157"/>
    </sheetView>
  </sheetViews>
  <sheetFormatPr baseColWidth="10" defaultColWidth="11" defaultRowHeight="16" x14ac:dyDescent="0.2"/>
  <cols>
    <col min="14" max="16" width="7" customWidth="1"/>
    <col min="17" max="19" width="10.33203125" customWidth="1"/>
    <col min="20" max="20" width="10.1640625" customWidth="1"/>
    <col min="24" max="24" width="11.1640625" bestFit="1" customWidth="1"/>
  </cols>
  <sheetData>
    <row r="1" spans="1:24" ht="2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46</v>
      </c>
      <c r="N1" s="51" t="s">
        <v>43</v>
      </c>
      <c r="O1" s="51" t="s">
        <v>44</v>
      </c>
      <c r="P1" s="48" t="s">
        <v>45</v>
      </c>
      <c r="Q1" s="51" t="s">
        <v>38</v>
      </c>
      <c r="R1" s="51" t="s">
        <v>39</v>
      </c>
      <c r="S1" s="51" t="s">
        <v>37</v>
      </c>
      <c r="T1" s="51" t="s">
        <v>32</v>
      </c>
      <c r="U1" s="51" t="s">
        <v>33</v>
      </c>
      <c r="V1" s="51" t="s">
        <v>49</v>
      </c>
      <c r="W1" s="49" t="s">
        <v>23</v>
      </c>
    </row>
    <row r="2" spans="1:24" x14ac:dyDescent="0.2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6">
        <v>5.5</v>
      </c>
      <c r="H2" s="5">
        <v>22</v>
      </c>
      <c r="I2" s="7" t="s">
        <v>11</v>
      </c>
      <c r="J2" s="8" t="s">
        <v>12</v>
      </c>
      <c r="K2">
        <v>386</v>
      </c>
      <c r="L2">
        <v>97.42375977291556</v>
      </c>
      <c r="M2">
        <v>99.87686903528143</v>
      </c>
      <c r="N2">
        <f t="shared" ref="N2:N33" si="0">IF(I2="normal",1,0)</f>
        <v>0</v>
      </c>
      <c r="O2">
        <f t="shared" ref="O2:O33" si="1">IF(I2="reverse",1,0)</f>
        <v>0</v>
      </c>
      <c r="P2">
        <f>IF(I2="strike slip",1,0)</f>
        <v>1</v>
      </c>
      <c r="Q2">
        <f>IF(G2&gt;$X$3,0,1)</f>
        <v>1</v>
      </c>
      <c r="R2">
        <f>IF(G2&gt;$X$3,1,0)</f>
        <v>0</v>
      </c>
      <c r="S2">
        <v>1</v>
      </c>
      <c r="T2">
        <f>$X$6+($X$7+$X$8*(G2-$X$2))*LOG10((SQRT((M2^2)+($X$9^2))/$X$4))-$X$10*(SQRT((M2^2)+($X$9^2))-$X$4)+Q2*$X$11*(G2-$X$3)+Q2*$X$12*((G2-$X$3)^2)+R2*$X$13*(G2-$X$3)+$X$14*LOG10(K2/$X$5)+$X$15*N2+$X$16*O2+$X$17*P2</f>
        <v>-4.2524942845819806E-2</v>
      </c>
      <c r="U2">
        <v>-0.27239887598762158</v>
      </c>
      <c r="V2">
        <f>U2-T2</f>
        <v>-0.22987393314180177</v>
      </c>
      <c r="W2" t="s">
        <v>25</v>
      </c>
      <c r="X2">
        <v>5.5</v>
      </c>
    </row>
    <row r="3" spans="1:24" x14ac:dyDescent="0.2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6">
        <v>5.5</v>
      </c>
      <c r="H3" s="5">
        <v>22</v>
      </c>
      <c r="I3" s="7" t="s">
        <v>11</v>
      </c>
      <c r="J3" s="8" t="s">
        <v>13</v>
      </c>
      <c r="K3">
        <v>290</v>
      </c>
      <c r="L3">
        <v>57.079414195557547</v>
      </c>
      <c r="M3">
        <v>61.172375504863439</v>
      </c>
      <c r="N3">
        <f t="shared" si="0"/>
        <v>0</v>
      </c>
      <c r="O3">
        <f t="shared" si="1"/>
        <v>0</v>
      </c>
      <c r="P3">
        <f t="shared" ref="P3:P66" si="2">IF(I3="strike slip",1,0)</f>
        <v>1</v>
      </c>
      <c r="Q3">
        <f t="shared" ref="Q3:Q66" si="3">IF(G3&gt;$X$3,0,1)</f>
        <v>1</v>
      </c>
      <c r="R3">
        <f t="shared" ref="R3:R66" si="4">IF(G3&gt;$X$3,1,0)</f>
        <v>0</v>
      </c>
      <c r="S3">
        <v>1</v>
      </c>
      <c r="T3">
        <f t="shared" ref="T3:T66" si="5">$X$6+($X$7+$X$8*(G3-$X$2))*LOG10((SQRT((M3^2)+($X$9^2))/$X$4))-$X$10*(SQRT((M3^2)+($X$9^2))-$X$4)+Q3*$X$11*(G3-$X$3)+Q3*$X$12*((G3-$X$3)^2)+R3*$X$13*(G3-$X$3)+$X$14*LOG10(K3/$X$5)+$X$15*N3+$X$16*O3+$X$17*P3</f>
        <v>0.31183284599281774</v>
      </c>
      <c r="U3">
        <v>0.31913216532207744</v>
      </c>
      <c r="V3">
        <f t="shared" ref="V3:V66" si="6">U3-T3</f>
        <v>7.2993193292597014E-3</v>
      </c>
      <c r="W3" t="s">
        <v>24</v>
      </c>
      <c r="X3">
        <v>6.75</v>
      </c>
    </row>
    <row r="4" spans="1:24" x14ac:dyDescent="0.2">
      <c r="A4">
        <f t="shared" ref="A4:A67" si="7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6">
        <v>5.5</v>
      </c>
      <c r="H4" s="5">
        <v>22</v>
      </c>
      <c r="I4" s="7" t="s">
        <v>11</v>
      </c>
      <c r="J4" s="8" t="s">
        <v>14</v>
      </c>
      <c r="K4">
        <v>210</v>
      </c>
      <c r="L4">
        <v>199.93485105406191</v>
      </c>
      <c r="M4">
        <v>201.14160351854093</v>
      </c>
      <c r="N4">
        <f t="shared" si="0"/>
        <v>0</v>
      </c>
      <c r="O4">
        <f t="shared" si="1"/>
        <v>0</v>
      </c>
      <c r="P4">
        <f t="shared" si="2"/>
        <v>1</v>
      </c>
      <c r="Q4">
        <f t="shared" si="3"/>
        <v>1</v>
      </c>
      <c r="R4">
        <f t="shared" si="4"/>
        <v>0</v>
      </c>
      <c r="S4">
        <v>1</v>
      </c>
      <c r="T4">
        <f t="shared" si="5"/>
        <v>-0.22057386067191265</v>
      </c>
      <c r="U4">
        <v>-0.68935952908535625</v>
      </c>
      <c r="V4">
        <f t="shared" si="6"/>
        <v>-0.4687856684134436</v>
      </c>
      <c r="W4" t="s">
        <v>26</v>
      </c>
      <c r="X4">
        <v>1</v>
      </c>
    </row>
    <row r="5" spans="1:24" x14ac:dyDescent="0.2">
      <c r="A5">
        <f t="shared" si="7"/>
        <v>4</v>
      </c>
      <c r="B5" s="2">
        <v>1</v>
      </c>
      <c r="C5" s="9">
        <v>42582</v>
      </c>
      <c r="D5" s="10">
        <v>0.98613425925925924</v>
      </c>
      <c r="E5" s="5">
        <v>-8.24</v>
      </c>
      <c r="F5" s="5">
        <v>117.87</v>
      </c>
      <c r="G5" s="6">
        <v>5.5</v>
      </c>
      <c r="H5" s="5">
        <v>22</v>
      </c>
      <c r="I5" s="2" t="s">
        <v>11</v>
      </c>
      <c r="J5" s="8" t="s">
        <v>15</v>
      </c>
      <c r="K5">
        <v>770</v>
      </c>
      <c r="L5">
        <v>186.18385881689272</v>
      </c>
      <c r="M5">
        <v>187.47914359722429</v>
      </c>
      <c r="N5">
        <f t="shared" si="0"/>
        <v>0</v>
      </c>
      <c r="O5">
        <f t="shared" si="1"/>
        <v>0</v>
      </c>
      <c r="P5">
        <f t="shared" si="2"/>
        <v>1</v>
      </c>
      <c r="Q5">
        <f t="shared" si="3"/>
        <v>1</v>
      </c>
      <c r="R5">
        <f t="shared" si="4"/>
        <v>0</v>
      </c>
      <c r="S5">
        <v>0</v>
      </c>
      <c r="T5">
        <f t="shared" si="5"/>
        <v>-0.60297008677124653</v>
      </c>
      <c r="U5">
        <v>-1.0236781919984617</v>
      </c>
      <c r="V5">
        <f t="shared" si="6"/>
        <v>-0.42070810522721513</v>
      </c>
      <c r="W5" t="s">
        <v>31</v>
      </c>
      <c r="X5">
        <v>800</v>
      </c>
    </row>
    <row r="6" spans="1:24" x14ac:dyDescent="0.2">
      <c r="A6">
        <f t="shared" si="7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6">
        <v>5.5</v>
      </c>
      <c r="H6" s="5">
        <v>22</v>
      </c>
      <c r="I6" s="7" t="s">
        <v>11</v>
      </c>
      <c r="J6" s="8" t="s">
        <v>16</v>
      </c>
      <c r="K6">
        <v>1141</v>
      </c>
      <c r="L6">
        <v>122.92739866371562</v>
      </c>
      <c r="M6">
        <v>124.88052427111312</v>
      </c>
      <c r="N6">
        <f t="shared" si="0"/>
        <v>0</v>
      </c>
      <c r="O6">
        <f t="shared" si="1"/>
        <v>0</v>
      </c>
      <c r="P6">
        <f t="shared" si="2"/>
        <v>1</v>
      </c>
      <c r="Q6">
        <f t="shared" si="3"/>
        <v>1</v>
      </c>
      <c r="R6">
        <f t="shared" si="4"/>
        <v>0</v>
      </c>
      <c r="S6">
        <v>0</v>
      </c>
      <c r="T6">
        <f t="shared" si="5"/>
        <v>-0.5125139036193056</v>
      </c>
      <c r="U6">
        <v>-0.60304396582191477</v>
      </c>
      <c r="V6">
        <f t="shared" si="6"/>
        <v>-9.0530062202609174E-2</v>
      </c>
      <c r="W6" s="50" t="s">
        <v>30</v>
      </c>
      <c r="X6" s="52">
        <v>3.0660099999999999</v>
      </c>
    </row>
    <row r="7" spans="1:24" x14ac:dyDescent="0.2">
      <c r="A7">
        <f t="shared" si="7"/>
        <v>6</v>
      </c>
      <c r="B7" s="2">
        <f t="shared" ref="B7:B70" si="8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6">
        <v>4.4000000000000004</v>
      </c>
      <c r="H7" s="5">
        <v>11</v>
      </c>
      <c r="I7" s="7" t="s">
        <v>11</v>
      </c>
      <c r="J7" s="8" t="s">
        <v>17</v>
      </c>
      <c r="K7">
        <v>612</v>
      </c>
      <c r="L7">
        <v>51.849622503718564</v>
      </c>
      <c r="M7">
        <v>53.00361642169446</v>
      </c>
      <c r="N7">
        <f t="shared" si="0"/>
        <v>0</v>
      </c>
      <c r="O7">
        <f t="shared" si="1"/>
        <v>0</v>
      </c>
      <c r="P7">
        <f t="shared" si="2"/>
        <v>1</v>
      </c>
      <c r="Q7">
        <f t="shared" si="3"/>
        <v>1</v>
      </c>
      <c r="R7">
        <f t="shared" si="4"/>
        <v>0</v>
      </c>
      <c r="S7">
        <v>0</v>
      </c>
      <c r="T7">
        <f t="shared" si="5"/>
        <v>-1.1448906454711547</v>
      </c>
      <c r="U7">
        <v>-1.3281826176401068</v>
      </c>
      <c r="V7">
        <f t="shared" si="6"/>
        <v>-0.1832919721689521</v>
      </c>
      <c r="W7" s="50" t="s">
        <v>27</v>
      </c>
      <c r="X7">
        <v>-1.23427</v>
      </c>
    </row>
    <row r="8" spans="1:24" x14ac:dyDescent="0.2">
      <c r="A8">
        <f t="shared" si="7"/>
        <v>7</v>
      </c>
      <c r="B8" s="2">
        <f t="shared" si="8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6">
        <v>4.4000000000000004</v>
      </c>
      <c r="H8" s="5">
        <v>11</v>
      </c>
      <c r="I8" s="7" t="s">
        <v>11</v>
      </c>
      <c r="J8" s="8" t="s">
        <v>14</v>
      </c>
      <c r="K8">
        <v>210</v>
      </c>
      <c r="L8">
        <v>61.668145708230284</v>
      </c>
      <c r="M8">
        <v>62.641521334427388</v>
      </c>
      <c r="N8">
        <f t="shared" si="0"/>
        <v>0</v>
      </c>
      <c r="O8">
        <f t="shared" si="1"/>
        <v>0</v>
      </c>
      <c r="P8">
        <f t="shared" si="2"/>
        <v>1</v>
      </c>
      <c r="Q8">
        <f t="shared" si="3"/>
        <v>1</v>
      </c>
      <c r="R8">
        <f t="shared" si="4"/>
        <v>0</v>
      </c>
      <c r="S8">
        <v>0</v>
      </c>
      <c r="T8">
        <f t="shared" si="5"/>
        <v>-0.89999340022521257</v>
      </c>
      <c r="U8">
        <v>-1.6026918214874346</v>
      </c>
      <c r="V8">
        <f t="shared" si="6"/>
        <v>-0.70269842126222204</v>
      </c>
      <c r="W8" s="50" t="s">
        <v>28</v>
      </c>
      <c r="X8">
        <v>0.150146</v>
      </c>
    </row>
    <row r="9" spans="1:24" x14ac:dyDescent="0.2">
      <c r="A9">
        <f t="shared" si="7"/>
        <v>8</v>
      </c>
      <c r="B9" s="2">
        <f t="shared" si="8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6">
        <v>4.4000000000000004</v>
      </c>
      <c r="H9" s="5">
        <v>11</v>
      </c>
      <c r="I9" s="7" t="s">
        <v>11</v>
      </c>
      <c r="J9" s="8" t="s">
        <v>16</v>
      </c>
      <c r="K9">
        <v>1141</v>
      </c>
      <c r="L9">
        <v>145.7603890243447</v>
      </c>
      <c r="M9">
        <v>146.17486448951581</v>
      </c>
      <c r="N9">
        <f t="shared" si="0"/>
        <v>0</v>
      </c>
      <c r="O9">
        <f t="shared" si="1"/>
        <v>0</v>
      </c>
      <c r="P9">
        <f t="shared" si="2"/>
        <v>1</v>
      </c>
      <c r="Q9">
        <f t="shared" si="3"/>
        <v>1</v>
      </c>
      <c r="R9">
        <f t="shared" si="4"/>
        <v>0</v>
      </c>
      <c r="S9">
        <v>1</v>
      </c>
      <c r="T9">
        <f t="shared" si="5"/>
        <v>-1.9609807310867986</v>
      </c>
      <c r="U9">
        <v>-2.2303280740390878</v>
      </c>
      <c r="V9">
        <f t="shared" si="6"/>
        <v>-0.26934734295228924</v>
      </c>
      <c r="W9" s="50" t="s">
        <v>7</v>
      </c>
      <c r="X9">
        <v>4.4551100000000003</v>
      </c>
    </row>
    <row r="10" spans="1:24" x14ac:dyDescent="0.2">
      <c r="A10">
        <f t="shared" si="7"/>
        <v>9</v>
      </c>
      <c r="B10" s="2">
        <f t="shared" si="8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6">
        <v>3.9</v>
      </c>
      <c r="H10" s="5">
        <v>10</v>
      </c>
      <c r="I10" s="7" t="s">
        <v>11</v>
      </c>
      <c r="J10" s="8" t="s">
        <v>17</v>
      </c>
      <c r="K10">
        <v>612</v>
      </c>
      <c r="L10">
        <v>92.404790052454644</v>
      </c>
      <c r="M10">
        <v>92.944312492148882</v>
      </c>
      <c r="N10">
        <f t="shared" si="0"/>
        <v>0</v>
      </c>
      <c r="O10">
        <f t="shared" si="1"/>
        <v>0</v>
      </c>
      <c r="P10">
        <f t="shared" si="2"/>
        <v>1</v>
      </c>
      <c r="Q10">
        <f t="shared" si="3"/>
        <v>1</v>
      </c>
      <c r="R10">
        <f t="shared" si="4"/>
        <v>0</v>
      </c>
      <c r="S10">
        <v>0</v>
      </c>
      <c r="T10">
        <f t="shared" si="5"/>
        <v>-2.1730868503761358</v>
      </c>
      <c r="U10">
        <v>-2.3183737035669285</v>
      </c>
      <c r="V10">
        <f t="shared" si="6"/>
        <v>-0.14528685319079271</v>
      </c>
      <c r="W10" s="50" t="s">
        <v>29</v>
      </c>
      <c r="X10">
        <v>0</v>
      </c>
    </row>
    <row r="11" spans="1:24" x14ac:dyDescent="0.2">
      <c r="A11">
        <f t="shared" si="7"/>
        <v>10</v>
      </c>
      <c r="B11" s="2">
        <f t="shared" si="8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6">
        <v>3.9</v>
      </c>
      <c r="H11" s="5">
        <v>10</v>
      </c>
      <c r="I11" s="7" t="s">
        <v>11</v>
      </c>
      <c r="J11" s="8" t="s">
        <v>14</v>
      </c>
      <c r="K11">
        <v>210</v>
      </c>
      <c r="L11">
        <v>99.718584231845142</v>
      </c>
      <c r="M11">
        <v>100.21874096796265</v>
      </c>
      <c r="N11">
        <f t="shared" si="0"/>
        <v>0</v>
      </c>
      <c r="O11">
        <f t="shared" si="1"/>
        <v>0</v>
      </c>
      <c r="P11">
        <f t="shared" si="2"/>
        <v>1</v>
      </c>
      <c r="Q11">
        <f t="shared" si="3"/>
        <v>1</v>
      </c>
      <c r="R11">
        <f t="shared" si="4"/>
        <v>0</v>
      </c>
      <c r="S11">
        <v>0</v>
      </c>
      <c r="T11">
        <f t="shared" si="5"/>
        <v>-1.8754096332267038</v>
      </c>
      <c r="U11">
        <v>-2.70744932875875</v>
      </c>
      <c r="V11">
        <f t="shared" si="6"/>
        <v>-0.83203969553204615</v>
      </c>
      <c r="W11" s="50" t="s">
        <v>34</v>
      </c>
      <c r="X11">
        <v>0.54174999999999995</v>
      </c>
    </row>
    <row r="12" spans="1:24" x14ac:dyDescent="0.2">
      <c r="A12">
        <f t="shared" si="7"/>
        <v>11</v>
      </c>
      <c r="B12" s="2">
        <f t="shared" si="8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6">
        <v>3.9</v>
      </c>
      <c r="H12" s="5">
        <v>10</v>
      </c>
      <c r="I12" s="7" t="s">
        <v>11</v>
      </c>
      <c r="J12" s="8" t="s">
        <v>16</v>
      </c>
      <c r="K12">
        <v>1141</v>
      </c>
      <c r="L12">
        <v>186.63118908550243</v>
      </c>
      <c r="M12">
        <v>186.89890513180796</v>
      </c>
      <c r="N12">
        <f t="shared" si="0"/>
        <v>0</v>
      </c>
      <c r="O12">
        <f t="shared" si="1"/>
        <v>0</v>
      </c>
      <c r="P12">
        <f t="shared" si="2"/>
        <v>1</v>
      </c>
      <c r="Q12">
        <f t="shared" si="3"/>
        <v>1</v>
      </c>
      <c r="R12">
        <f t="shared" si="4"/>
        <v>0</v>
      </c>
      <c r="S12">
        <v>1</v>
      </c>
      <c r="T12">
        <f t="shared" si="5"/>
        <v>-2.8212787020411425</v>
      </c>
      <c r="U12">
        <v>-2.8579643265907406</v>
      </c>
      <c r="V12">
        <f t="shared" si="6"/>
        <v>-3.6685624549598117E-2</v>
      </c>
      <c r="W12" s="50" t="s">
        <v>35</v>
      </c>
      <c r="X12">
        <v>-0.1037</v>
      </c>
    </row>
    <row r="13" spans="1:24" x14ac:dyDescent="0.2">
      <c r="A13">
        <f t="shared" si="7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6">
        <v>4</v>
      </c>
      <c r="H13" s="5">
        <v>24</v>
      </c>
      <c r="I13" s="7" t="s">
        <v>11</v>
      </c>
      <c r="J13" s="8" t="s">
        <v>18</v>
      </c>
      <c r="K13">
        <v>283</v>
      </c>
      <c r="L13">
        <v>71.326978734067708</v>
      </c>
      <c r="M13">
        <v>75.256480753023169</v>
      </c>
      <c r="N13">
        <f t="shared" si="0"/>
        <v>0</v>
      </c>
      <c r="O13">
        <f t="shared" si="1"/>
        <v>0</v>
      </c>
      <c r="P13">
        <f t="shared" si="2"/>
        <v>1</v>
      </c>
      <c r="Q13">
        <f t="shared" si="3"/>
        <v>1</v>
      </c>
      <c r="R13">
        <f t="shared" si="4"/>
        <v>0</v>
      </c>
      <c r="S13">
        <v>0</v>
      </c>
      <c r="T13">
        <f t="shared" si="5"/>
        <v>-1.648486611756927</v>
      </c>
      <c r="U13">
        <v>-2.0362379883476471</v>
      </c>
      <c r="V13">
        <f t="shared" si="6"/>
        <v>-0.38775137659072012</v>
      </c>
      <c r="W13" s="50" t="s">
        <v>36</v>
      </c>
      <c r="X13">
        <v>9.3030000000000005E-3</v>
      </c>
    </row>
    <row r="14" spans="1:24" x14ac:dyDescent="0.2">
      <c r="A14" s="11">
        <f t="shared" si="7"/>
        <v>13</v>
      </c>
      <c r="B14" s="12">
        <f t="shared" si="8"/>
        <v>5</v>
      </c>
      <c r="C14" s="13">
        <v>42912</v>
      </c>
      <c r="D14" s="14" t="s">
        <v>19</v>
      </c>
      <c r="E14" s="15">
        <v>-8.44</v>
      </c>
      <c r="F14" s="15">
        <v>117.26</v>
      </c>
      <c r="G14" s="16">
        <v>3.8</v>
      </c>
      <c r="H14" s="15">
        <v>10</v>
      </c>
      <c r="I14" s="17" t="s">
        <v>11</v>
      </c>
      <c r="J14" s="18" t="s">
        <v>18</v>
      </c>
      <c r="K14">
        <v>283</v>
      </c>
      <c r="L14">
        <v>17.815188989454146</v>
      </c>
      <c r="M14">
        <v>20.429903541866473</v>
      </c>
      <c r="N14">
        <f t="shared" si="0"/>
        <v>0</v>
      </c>
      <c r="O14">
        <f t="shared" si="1"/>
        <v>0</v>
      </c>
      <c r="P14">
        <f t="shared" si="2"/>
        <v>1</v>
      </c>
      <c r="Q14">
        <f t="shared" si="3"/>
        <v>1</v>
      </c>
      <c r="R14">
        <f t="shared" si="4"/>
        <v>0</v>
      </c>
      <c r="S14">
        <v>0</v>
      </c>
      <c r="T14">
        <f t="shared" si="5"/>
        <v>-1.1018426990082701</v>
      </c>
      <c r="U14">
        <v>-2.0463396813917907</v>
      </c>
      <c r="V14">
        <f t="shared" si="6"/>
        <v>-0.94449698238352053</v>
      </c>
      <c r="W14" s="50" t="s">
        <v>48</v>
      </c>
      <c r="X14">
        <v>-0.74446800000000002</v>
      </c>
    </row>
    <row r="15" spans="1:24" ht="18" x14ac:dyDescent="0.25">
      <c r="A15">
        <f t="shared" si="7"/>
        <v>14</v>
      </c>
      <c r="B15" s="2">
        <f t="shared" si="8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6">
        <v>5.0999999999999996</v>
      </c>
      <c r="H15" s="5">
        <v>30</v>
      </c>
      <c r="I15" s="7" t="s">
        <v>20</v>
      </c>
      <c r="J15" s="8" t="s">
        <v>12</v>
      </c>
      <c r="K15">
        <v>386</v>
      </c>
      <c r="L15">
        <v>73.482911519556041</v>
      </c>
      <c r="M15">
        <v>79.370890667743566</v>
      </c>
      <c r="N15">
        <f t="shared" si="0"/>
        <v>0</v>
      </c>
      <c r="O15">
        <f t="shared" si="1"/>
        <v>1</v>
      </c>
      <c r="P15">
        <f t="shared" si="2"/>
        <v>0</v>
      </c>
      <c r="Q15">
        <f t="shared" si="3"/>
        <v>1</v>
      </c>
      <c r="R15">
        <f t="shared" si="4"/>
        <v>0</v>
      </c>
      <c r="S15">
        <v>0</v>
      </c>
      <c r="T15">
        <f t="shared" si="5"/>
        <v>-0.30373625960986639</v>
      </c>
      <c r="U15">
        <v>-0.89816381469868511</v>
      </c>
      <c r="V15">
        <f t="shared" si="6"/>
        <v>-0.59442755508881873</v>
      </c>
      <c r="W15" s="50" t="s">
        <v>40</v>
      </c>
      <c r="X15">
        <v>6.0270000000000002E-3</v>
      </c>
    </row>
    <row r="16" spans="1:24" ht="18" x14ac:dyDescent="0.25">
      <c r="A16">
        <f t="shared" si="7"/>
        <v>15</v>
      </c>
      <c r="B16" s="2">
        <f t="shared" si="8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6">
        <v>5.0999999999999996</v>
      </c>
      <c r="H16" s="5">
        <v>30</v>
      </c>
      <c r="I16" s="7" t="s">
        <v>20</v>
      </c>
      <c r="J16" s="8" t="s">
        <v>13</v>
      </c>
      <c r="K16">
        <v>290</v>
      </c>
      <c r="L16">
        <v>86.954160124792679</v>
      </c>
      <c r="M16">
        <v>91.983835335389699</v>
      </c>
      <c r="N16">
        <f t="shared" si="0"/>
        <v>0</v>
      </c>
      <c r="O16">
        <f t="shared" si="1"/>
        <v>1</v>
      </c>
      <c r="P16">
        <f t="shared" si="2"/>
        <v>0</v>
      </c>
      <c r="Q16">
        <f t="shared" si="3"/>
        <v>1</v>
      </c>
      <c r="R16">
        <f t="shared" si="4"/>
        <v>0</v>
      </c>
      <c r="S16">
        <v>0</v>
      </c>
      <c r="T16">
        <f t="shared" si="5"/>
        <v>-0.2939577904479268</v>
      </c>
      <c r="U16">
        <v>-0.93403923985861648</v>
      </c>
      <c r="V16">
        <f t="shared" si="6"/>
        <v>-0.64008144941068967</v>
      </c>
      <c r="W16" s="50" t="s">
        <v>41</v>
      </c>
      <c r="X16">
        <v>3.0508E-2</v>
      </c>
    </row>
    <row r="17" spans="1:24" ht="18" x14ac:dyDescent="0.25">
      <c r="A17">
        <f t="shared" si="7"/>
        <v>16</v>
      </c>
      <c r="B17" s="2">
        <f t="shared" si="8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6">
        <v>5.0999999999999996</v>
      </c>
      <c r="H17" s="5">
        <v>30</v>
      </c>
      <c r="I17" s="7" t="s">
        <v>20</v>
      </c>
      <c r="J17" s="8" t="s">
        <v>18</v>
      </c>
      <c r="K17">
        <v>283</v>
      </c>
      <c r="L17">
        <v>167.80782469041785</v>
      </c>
      <c r="M17">
        <v>170.4683725132906</v>
      </c>
      <c r="N17">
        <f t="shared" si="0"/>
        <v>0</v>
      </c>
      <c r="O17">
        <f t="shared" si="1"/>
        <v>1</v>
      </c>
      <c r="P17">
        <f t="shared" si="2"/>
        <v>0</v>
      </c>
      <c r="Q17">
        <f t="shared" si="3"/>
        <v>1</v>
      </c>
      <c r="R17">
        <f t="shared" si="4"/>
        <v>0</v>
      </c>
      <c r="S17">
        <v>1</v>
      </c>
      <c r="T17">
        <f t="shared" si="5"/>
        <v>-0.63238356806845442</v>
      </c>
      <c r="U17">
        <v>-1.6151036133499508</v>
      </c>
      <c r="V17">
        <f t="shared" si="6"/>
        <v>-0.98272004528149637</v>
      </c>
      <c r="W17" s="50" t="s">
        <v>42</v>
      </c>
      <c r="X17">
        <v>-3.653E-2</v>
      </c>
    </row>
    <row r="18" spans="1:24" x14ac:dyDescent="0.2">
      <c r="A18">
        <f t="shared" si="7"/>
        <v>17</v>
      </c>
      <c r="B18" s="2">
        <f t="shared" si="8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6">
        <v>5.0999999999999996</v>
      </c>
      <c r="H18" s="5">
        <v>30</v>
      </c>
      <c r="I18" s="7" t="s">
        <v>20</v>
      </c>
      <c r="J18" s="8" t="s">
        <v>16</v>
      </c>
      <c r="K18">
        <v>1141</v>
      </c>
      <c r="L18">
        <v>232.99229188908313</v>
      </c>
      <c r="M18">
        <v>234.91574676834185</v>
      </c>
      <c r="N18">
        <f t="shared" si="0"/>
        <v>0</v>
      </c>
      <c r="O18">
        <f t="shared" si="1"/>
        <v>1</v>
      </c>
      <c r="P18">
        <f t="shared" si="2"/>
        <v>0</v>
      </c>
      <c r="Q18">
        <f t="shared" si="3"/>
        <v>1</v>
      </c>
      <c r="R18">
        <f t="shared" si="4"/>
        <v>0</v>
      </c>
      <c r="S18">
        <v>1</v>
      </c>
      <c r="T18">
        <f t="shared" si="5"/>
        <v>-1.2633264533229536</v>
      </c>
      <c r="U18">
        <v>-2.20744932875875</v>
      </c>
      <c r="V18">
        <f t="shared" si="6"/>
        <v>-0.94412287543579643</v>
      </c>
    </row>
    <row r="19" spans="1:24" x14ac:dyDescent="0.2">
      <c r="A19">
        <f t="shared" si="7"/>
        <v>18</v>
      </c>
      <c r="B19" s="2">
        <f t="shared" si="8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6">
        <v>4.9000000000000004</v>
      </c>
      <c r="H19" s="5">
        <v>17</v>
      </c>
      <c r="I19" s="7" t="s">
        <v>20</v>
      </c>
      <c r="J19" s="8" t="s">
        <v>13</v>
      </c>
      <c r="K19">
        <v>290</v>
      </c>
      <c r="L19">
        <v>87.504747432513781</v>
      </c>
      <c r="M19">
        <v>89.140792139334437</v>
      </c>
      <c r="N19">
        <f t="shared" si="0"/>
        <v>0</v>
      </c>
      <c r="O19">
        <f t="shared" si="1"/>
        <v>1</v>
      </c>
      <c r="P19">
        <f t="shared" si="2"/>
        <v>0</v>
      </c>
      <c r="Q19">
        <f t="shared" si="3"/>
        <v>1</v>
      </c>
      <c r="R19">
        <f t="shared" si="4"/>
        <v>0</v>
      </c>
      <c r="S19">
        <v>0</v>
      </c>
      <c r="T19">
        <f t="shared" si="5"/>
        <v>-0.51586771862259784</v>
      </c>
      <c r="U19">
        <v>-0.36154402844628142</v>
      </c>
      <c r="V19">
        <f t="shared" si="6"/>
        <v>0.15432369017631642</v>
      </c>
    </row>
    <row r="20" spans="1:24" x14ac:dyDescent="0.2">
      <c r="A20" s="11">
        <f t="shared" si="7"/>
        <v>19</v>
      </c>
      <c r="B20" s="12">
        <f t="shared" si="8"/>
        <v>7</v>
      </c>
      <c r="C20" s="13">
        <v>43130</v>
      </c>
      <c r="D20" s="14">
        <v>8.3715277777777777E-2</v>
      </c>
      <c r="E20" s="15">
        <v>-7.9</v>
      </c>
      <c r="F20" s="15">
        <v>118.82</v>
      </c>
      <c r="G20" s="16">
        <v>4.9000000000000004</v>
      </c>
      <c r="H20" s="15">
        <v>17</v>
      </c>
      <c r="I20" s="17" t="s">
        <v>20</v>
      </c>
      <c r="J20" s="18" t="s">
        <v>16</v>
      </c>
      <c r="K20">
        <v>1141</v>
      </c>
      <c r="L20">
        <v>234.58300285380335</v>
      </c>
      <c r="M20">
        <v>235.198182875437</v>
      </c>
      <c r="N20">
        <f t="shared" si="0"/>
        <v>0</v>
      </c>
      <c r="O20">
        <f t="shared" si="1"/>
        <v>1</v>
      </c>
      <c r="P20">
        <f t="shared" si="2"/>
        <v>0</v>
      </c>
      <c r="Q20">
        <f t="shared" si="3"/>
        <v>1</v>
      </c>
      <c r="R20">
        <f t="shared" si="4"/>
        <v>0</v>
      </c>
      <c r="S20">
        <v>1</v>
      </c>
      <c r="T20">
        <f t="shared" si="5"/>
        <v>-1.5161562378648257</v>
      </c>
      <c r="U20">
        <v>-1.6942848593975754</v>
      </c>
      <c r="V20">
        <f t="shared" si="6"/>
        <v>-0.17812862153274978</v>
      </c>
    </row>
    <row r="21" spans="1:24" x14ac:dyDescent="0.2">
      <c r="A21" s="11">
        <f t="shared" si="7"/>
        <v>20</v>
      </c>
      <c r="B21" s="12">
        <f t="shared" si="8"/>
        <v>8</v>
      </c>
      <c r="C21" s="13">
        <v>43133</v>
      </c>
      <c r="D21" s="14">
        <v>0.24946759259182727</v>
      </c>
      <c r="E21" s="15">
        <v>-7.98</v>
      </c>
      <c r="F21" s="15">
        <v>115.88</v>
      </c>
      <c r="G21" s="16">
        <v>4.7</v>
      </c>
      <c r="H21" s="15">
        <v>27</v>
      </c>
      <c r="I21" s="17" t="s">
        <v>11</v>
      </c>
      <c r="J21" s="18" t="s">
        <v>16</v>
      </c>
      <c r="K21">
        <v>1141</v>
      </c>
      <c r="L21">
        <v>139.59393854085613</v>
      </c>
      <c r="M21">
        <v>142.18110872175782</v>
      </c>
      <c r="N21">
        <f t="shared" si="0"/>
        <v>0</v>
      </c>
      <c r="O21">
        <f t="shared" si="1"/>
        <v>0</v>
      </c>
      <c r="P21">
        <f t="shared" si="2"/>
        <v>1</v>
      </c>
      <c r="Q21">
        <f t="shared" si="3"/>
        <v>1</v>
      </c>
      <c r="R21">
        <f t="shared" si="4"/>
        <v>0</v>
      </c>
      <c r="S21">
        <v>1</v>
      </c>
      <c r="T21">
        <f t="shared" si="5"/>
        <v>-1.5477697435465809</v>
      </c>
      <c r="U21">
        <v>-2.6194036992309093</v>
      </c>
      <c r="V21">
        <f t="shared" si="6"/>
        <v>-1.0716339556843284</v>
      </c>
    </row>
    <row r="22" spans="1:24" x14ac:dyDescent="0.2">
      <c r="A22">
        <f t="shared" si="7"/>
        <v>21</v>
      </c>
      <c r="B22" s="2">
        <f t="shared" si="8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6">
        <v>3.6</v>
      </c>
      <c r="H22" s="5">
        <v>10</v>
      </c>
      <c r="I22" s="7" t="s">
        <v>20</v>
      </c>
      <c r="J22" s="8" t="s">
        <v>16</v>
      </c>
      <c r="K22">
        <v>1141</v>
      </c>
      <c r="L22">
        <v>94.330220972540559</v>
      </c>
      <c r="M22">
        <v>94.858792890950966</v>
      </c>
      <c r="N22">
        <f t="shared" si="0"/>
        <v>0</v>
      </c>
      <c r="O22">
        <f t="shared" si="1"/>
        <v>1</v>
      </c>
      <c r="P22">
        <f t="shared" si="2"/>
        <v>0</v>
      </c>
      <c r="Q22">
        <f t="shared" si="3"/>
        <v>1</v>
      </c>
      <c r="R22">
        <f t="shared" si="4"/>
        <v>0</v>
      </c>
      <c r="S22">
        <v>1</v>
      </c>
      <c r="T22">
        <f t="shared" si="5"/>
        <v>-2.7587416289175271</v>
      </c>
      <c r="U22">
        <v>-2.70744932875875</v>
      </c>
      <c r="V22">
        <f t="shared" si="6"/>
        <v>5.129230015877706E-2</v>
      </c>
    </row>
    <row r="23" spans="1:24" x14ac:dyDescent="0.2">
      <c r="A23" s="19">
        <f t="shared" si="7"/>
        <v>22</v>
      </c>
      <c r="B23" s="20">
        <f t="shared" si="8"/>
        <v>10</v>
      </c>
      <c r="C23" s="21">
        <v>43309</v>
      </c>
      <c r="D23" s="22">
        <v>0.94975694445020054</v>
      </c>
      <c r="E23" s="23">
        <v>-8.2799999999999994</v>
      </c>
      <c r="F23" s="23">
        <v>116.51</v>
      </c>
      <c r="G23" s="24">
        <v>6.5</v>
      </c>
      <c r="H23" s="23">
        <v>13</v>
      </c>
      <c r="I23" s="25" t="s">
        <v>20</v>
      </c>
      <c r="J23" s="26" t="s">
        <v>18</v>
      </c>
      <c r="K23">
        <v>283</v>
      </c>
      <c r="L23">
        <v>102.95038203100468</v>
      </c>
      <c r="M23">
        <v>103.76791970705499</v>
      </c>
      <c r="N23">
        <f t="shared" si="0"/>
        <v>0</v>
      </c>
      <c r="O23">
        <f t="shared" si="1"/>
        <v>1</v>
      </c>
      <c r="P23">
        <f t="shared" si="2"/>
        <v>0</v>
      </c>
      <c r="Q23">
        <f t="shared" si="3"/>
        <v>1</v>
      </c>
      <c r="R23">
        <f t="shared" si="4"/>
        <v>0</v>
      </c>
      <c r="S23">
        <v>0</v>
      </c>
      <c r="T23">
        <f t="shared" si="5"/>
        <v>1.1044843641882021</v>
      </c>
      <c r="U23">
        <v>0.40503514677531077</v>
      </c>
      <c r="V23">
        <f t="shared" si="6"/>
        <v>-0.69944921741289123</v>
      </c>
    </row>
    <row r="24" spans="1:24" x14ac:dyDescent="0.2">
      <c r="A24">
        <f t="shared" si="7"/>
        <v>23</v>
      </c>
      <c r="B24" s="2">
        <f t="shared" si="8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6">
        <v>4.9000000000000004</v>
      </c>
      <c r="H24" s="5">
        <v>10</v>
      </c>
      <c r="I24" s="7" t="s">
        <v>20</v>
      </c>
      <c r="J24" s="8" t="s">
        <v>18</v>
      </c>
      <c r="K24">
        <v>283</v>
      </c>
      <c r="L24">
        <v>103.61008734061461</v>
      </c>
      <c r="M24">
        <v>104.09154720115264</v>
      </c>
      <c r="N24">
        <f t="shared" si="0"/>
        <v>0</v>
      </c>
      <c r="O24">
        <f t="shared" si="1"/>
        <v>1</v>
      </c>
      <c r="P24">
        <f t="shared" si="2"/>
        <v>0</v>
      </c>
      <c r="Q24">
        <f t="shared" si="3"/>
        <v>1</v>
      </c>
      <c r="R24">
        <f t="shared" si="4"/>
        <v>0</v>
      </c>
      <c r="S24">
        <v>1</v>
      </c>
      <c r="T24">
        <f t="shared" si="5"/>
        <v>-0.59695751736678693</v>
      </c>
      <c r="U24">
        <v>-1.0909512735626732</v>
      </c>
      <c r="V24">
        <f t="shared" si="6"/>
        <v>-0.49399375619588626</v>
      </c>
    </row>
    <row r="25" spans="1:24" x14ac:dyDescent="0.2">
      <c r="A25">
        <f t="shared" si="7"/>
        <v>24</v>
      </c>
      <c r="B25" s="2">
        <f t="shared" si="8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6">
        <v>5.4</v>
      </c>
      <c r="H25" s="5">
        <v>10</v>
      </c>
      <c r="I25" s="7" t="s">
        <v>20</v>
      </c>
      <c r="J25" s="8" t="s">
        <v>13</v>
      </c>
      <c r="K25">
        <v>290</v>
      </c>
      <c r="L25">
        <v>208.12715043998526</v>
      </c>
      <c r="M25">
        <v>208.36724970654157</v>
      </c>
      <c r="N25">
        <f t="shared" si="0"/>
        <v>0</v>
      </c>
      <c r="O25">
        <f t="shared" si="1"/>
        <v>1</v>
      </c>
      <c r="P25">
        <f t="shared" si="2"/>
        <v>0</v>
      </c>
      <c r="Q25">
        <f t="shared" si="3"/>
        <v>1</v>
      </c>
      <c r="R25">
        <f t="shared" si="4"/>
        <v>0</v>
      </c>
      <c r="S25">
        <v>1</v>
      </c>
      <c r="T25">
        <f t="shared" si="5"/>
        <v>-0.39275858641730954</v>
      </c>
      <c r="U25">
        <v>-0.6192951527447943</v>
      </c>
      <c r="V25">
        <f t="shared" si="6"/>
        <v>-0.22653656632748476</v>
      </c>
    </row>
    <row r="26" spans="1:24" x14ac:dyDescent="0.2">
      <c r="A26">
        <f t="shared" si="7"/>
        <v>25</v>
      </c>
      <c r="B26" s="2">
        <f t="shared" si="8"/>
        <v>12</v>
      </c>
      <c r="C26" s="27">
        <v>43310</v>
      </c>
      <c r="D26" s="28">
        <v>7.6759259259259263E-2</v>
      </c>
      <c r="E26" s="29">
        <v>-8.2200000000000006</v>
      </c>
      <c r="F26" s="29">
        <v>116.46</v>
      </c>
      <c r="G26" s="6">
        <v>5.4</v>
      </c>
      <c r="H26" s="29">
        <v>10</v>
      </c>
      <c r="I26" s="2" t="s">
        <v>20</v>
      </c>
      <c r="J26" s="8" t="s">
        <v>15</v>
      </c>
      <c r="K26">
        <v>770</v>
      </c>
      <c r="L26">
        <v>63.920882697035651</v>
      </c>
      <c r="M26">
        <v>64.698371268279942</v>
      </c>
      <c r="N26">
        <f t="shared" si="0"/>
        <v>0</v>
      </c>
      <c r="O26">
        <f t="shared" si="1"/>
        <v>1</v>
      </c>
      <c r="P26">
        <f t="shared" si="2"/>
        <v>0</v>
      </c>
      <c r="Q26">
        <f t="shared" si="3"/>
        <v>1</v>
      </c>
      <c r="R26">
        <f t="shared" si="4"/>
        <v>0</v>
      </c>
      <c r="S26">
        <v>1</v>
      </c>
      <c r="T26">
        <f t="shared" si="5"/>
        <v>-7.5084573018270734E-2</v>
      </c>
      <c r="U26">
        <v>-1.1033630654251894</v>
      </c>
      <c r="V26">
        <f t="shared" si="6"/>
        <v>-1.0282784924069186</v>
      </c>
    </row>
    <row r="27" spans="1:24" x14ac:dyDescent="0.2">
      <c r="A27">
        <f t="shared" si="7"/>
        <v>26</v>
      </c>
      <c r="B27" s="2">
        <f t="shared" si="8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6">
        <v>5.4</v>
      </c>
      <c r="H27" s="5">
        <v>10</v>
      </c>
      <c r="I27" s="7" t="s">
        <v>20</v>
      </c>
      <c r="J27" s="8" t="s">
        <v>18</v>
      </c>
      <c r="K27">
        <v>283</v>
      </c>
      <c r="L27">
        <v>109.98524049130438</v>
      </c>
      <c r="M27">
        <v>110.43891128551594</v>
      </c>
      <c r="N27">
        <f t="shared" si="0"/>
        <v>0</v>
      </c>
      <c r="O27">
        <f t="shared" si="1"/>
        <v>1</v>
      </c>
      <c r="P27">
        <f t="shared" si="2"/>
        <v>0</v>
      </c>
      <c r="Q27">
        <f t="shared" si="3"/>
        <v>1</v>
      </c>
      <c r="R27">
        <f t="shared" si="4"/>
        <v>0</v>
      </c>
      <c r="S27">
        <v>1</v>
      </c>
      <c r="T27">
        <f t="shared" si="5"/>
        <v>-4.0738792054112828E-2</v>
      </c>
      <c r="U27">
        <v>-0.80846950689015196</v>
      </c>
      <c r="V27">
        <f t="shared" si="6"/>
        <v>-0.76773071483603916</v>
      </c>
    </row>
    <row r="28" spans="1:24" x14ac:dyDescent="0.2">
      <c r="A28">
        <f t="shared" si="7"/>
        <v>27</v>
      </c>
      <c r="B28" s="2">
        <f t="shared" si="8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6">
        <v>5.4</v>
      </c>
      <c r="H28" s="5">
        <v>10</v>
      </c>
      <c r="I28" s="7" t="s">
        <v>20</v>
      </c>
      <c r="J28" s="8" t="s">
        <v>16</v>
      </c>
      <c r="K28">
        <v>1141</v>
      </c>
      <c r="L28">
        <v>74.238713416035168</v>
      </c>
      <c r="M28">
        <v>74.909188819985232</v>
      </c>
      <c r="N28">
        <f t="shared" si="0"/>
        <v>0</v>
      </c>
      <c r="O28">
        <f t="shared" si="1"/>
        <v>1</v>
      </c>
      <c r="P28">
        <f t="shared" si="2"/>
        <v>0</v>
      </c>
      <c r="Q28">
        <f t="shared" si="3"/>
        <v>1</v>
      </c>
      <c r="R28">
        <f t="shared" si="4"/>
        <v>0</v>
      </c>
      <c r="S28">
        <v>1</v>
      </c>
      <c r="T28">
        <f t="shared" si="5"/>
        <v>-0.28141715346239826</v>
      </c>
      <c r="U28">
        <v>-0.9083277329319388</v>
      </c>
      <c r="V28">
        <f t="shared" si="6"/>
        <v>-0.62691057946954054</v>
      </c>
    </row>
    <row r="29" spans="1:24" x14ac:dyDescent="0.2">
      <c r="A29">
        <f t="shared" si="7"/>
        <v>28</v>
      </c>
      <c r="B29" s="2">
        <f t="shared" si="8"/>
        <v>13</v>
      </c>
      <c r="C29" s="27">
        <v>43310</v>
      </c>
      <c r="D29" s="28">
        <v>0.48100694444444447</v>
      </c>
      <c r="E29" s="29">
        <v>-8.33</v>
      </c>
      <c r="F29" s="29">
        <v>116.43</v>
      </c>
      <c r="G29" s="6">
        <v>3.5</v>
      </c>
      <c r="H29" s="29">
        <v>10</v>
      </c>
      <c r="I29" s="2" t="s">
        <v>20</v>
      </c>
      <c r="J29" s="8" t="s">
        <v>15</v>
      </c>
      <c r="K29">
        <v>770</v>
      </c>
      <c r="L29">
        <v>51.276522104060916</v>
      </c>
      <c r="M29">
        <v>52.242527878044413</v>
      </c>
      <c r="N29">
        <f t="shared" si="0"/>
        <v>0</v>
      </c>
      <c r="O29">
        <f t="shared" si="1"/>
        <v>1</v>
      </c>
      <c r="P29">
        <f t="shared" si="2"/>
        <v>0</v>
      </c>
      <c r="Q29">
        <f t="shared" si="3"/>
        <v>1</v>
      </c>
      <c r="R29">
        <f t="shared" si="4"/>
        <v>0</v>
      </c>
      <c r="S29">
        <v>1</v>
      </c>
      <c r="T29">
        <f t="shared" si="5"/>
        <v>-2.3859722887385315</v>
      </c>
      <c r="U29">
        <v>-2.6194036992309093</v>
      </c>
      <c r="V29">
        <f t="shared" si="6"/>
        <v>-0.23343141049237781</v>
      </c>
    </row>
    <row r="30" spans="1:24" x14ac:dyDescent="0.2">
      <c r="A30">
        <f t="shared" si="7"/>
        <v>29</v>
      </c>
      <c r="B30" s="2">
        <f t="shared" si="8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6">
        <v>4.2</v>
      </c>
      <c r="H30" s="5">
        <v>10</v>
      </c>
      <c r="I30" s="7" t="s">
        <v>20</v>
      </c>
      <c r="J30" s="8" t="s">
        <v>13</v>
      </c>
      <c r="K30">
        <v>290</v>
      </c>
      <c r="L30">
        <v>184.73212793909977</v>
      </c>
      <c r="M30">
        <v>185.00259212483465</v>
      </c>
      <c r="N30">
        <f t="shared" si="0"/>
        <v>0</v>
      </c>
      <c r="O30">
        <f t="shared" si="1"/>
        <v>1</v>
      </c>
      <c r="P30">
        <f t="shared" si="2"/>
        <v>0</v>
      </c>
      <c r="Q30">
        <f t="shared" si="3"/>
        <v>1</v>
      </c>
      <c r="R30">
        <f t="shared" si="4"/>
        <v>0</v>
      </c>
      <c r="S30">
        <v>0</v>
      </c>
      <c r="T30">
        <f t="shared" si="5"/>
        <v>-1.8721921641136159</v>
      </c>
      <c r="U30">
        <v>-2.0313580697030686</v>
      </c>
      <c r="V30">
        <f t="shared" si="6"/>
        <v>-0.15916590558945276</v>
      </c>
    </row>
    <row r="31" spans="1:24" x14ac:dyDescent="0.2">
      <c r="A31" s="19">
        <f t="shared" si="7"/>
        <v>30</v>
      </c>
      <c r="B31" s="20">
        <f t="shared" si="8"/>
        <v>15</v>
      </c>
      <c r="C31" s="30">
        <v>43317</v>
      </c>
      <c r="D31" s="31">
        <v>0.49070601851851853</v>
      </c>
      <c r="E31" s="32">
        <v>-8.2899999999999991</v>
      </c>
      <c r="F31" s="32">
        <v>116.48</v>
      </c>
      <c r="G31" s="24">
        <v>6.9</v>
      </c>
      <c r="H31" s="32">
        <v>17.8</v>
      </c>
      <c r="I31" s="20" t="s">
        <v>20</v>
      </c>
      <c r="J31" s="26" t="s">
        <v>15</v>
      </c>
      <c r="K31">
        <v>770</v>
      </c>
      <c r="L31">
        <v>57.419723907976618</v>
      </c>
      <c r="M31">
        <v>60.115428083548252</v>
      </c>
      <c r="N31">
        <f t="shared" si="0"/>
        <v>0</v>
      </c>
      <c r="O31">
        <f t="shared" si="1"/>
        <v>1</v>
      </c>
      <c r="P31">
        <f t="shared" si="2"/>
        <v>0</v>
      </c>
      <c r="Q31">
        <f t="shared" si="3"/>
        <v>0</v>
      </c>
      <c r="R31">
        <f t="shared" si="4"/>
        <v>1</v>
      </c>
      <c r="S31">
        <v>1</v>
      </c>
      <c r="T31">
        <f t="shared" si="5"/>
        <v>1.2872547893944026</v>
      </c>
      <c r="U31">
        <v>0.38551289007337197</v>
      </c>
      <c r="V31">
        <f t="shared" si="6"/>
        <v>-0.90174189932103066</v>
      </c>
    </row>
    <row r="32" spans="1:24" x14ac:dyDescent="0.2">
      <c r="A32" s="19">
        <f t="shared" si="7"/>
        <v>31</v>
      </c>
      <c r="B32" s="20">
        <f t="shared" si="8"/>
        <v>15</v>
      </c>
      <c r="C32" s="21">
        <v>43317</v>
      </c>
      <c r="D32" s="22">
        <v>0.49070601851851853</v>
      </c>
      <c r="E32" s="32">
        <v>-8.2899999999999991</v>
      </c>
      <c r="F32" s="23">
        <v>116.48</v>
      </c>
      <c r="G32" s="24">
        <v>6.9</v>
      </c>
      <c r="H32" s="32">
        <v>17.8</v>
      </c>
      <c r="I32" s="25" t="s">
        <v>20</v>
      </c>
      <c r="J32" s="26" t="s">
        <v>18</v>
      </c>
      <c r="K32">
        <v>283</v>
      </c>
      <c r="L32">
        <v>105.96476647702214</v>
      </c>
      <c r="M32">
        <v>107.44939150376719</v>
      </c>
      <c r="N32">
        <f t="shared" si="0"/>
        <v>0</v>
      </c>
      <c r="O32">
        <f t="shared" si="1"/>
        <v>1</v>
      </c>
      <c r="P32">
        <f t="shared" si="2"/>
        <v>0</v>
      </c>
      <c r="Q32">
        <f t="shared" si="3"/>
        <v>0</v>
      </c>
      <c r="R32">
        <f t="shared" si="4"/>
        <v>1</v>
      </c>
      <c r="S32">
        <v>0</v>
      </c>
      <c r="T32">
        <f t="shared" si="5"/>
        <v>1.353426439842037</v>
      </c>
      <c r="U32">
        <v>0.50233901627952193</v>
      </c>
      <c r="V32">
        <f t="shared" si="6"/>
        <v>-0.8510874235625151</v>
      </c>
    </row>
    <row r="33" spans="1:22" x14ac:dyDescent="0.2">
      <c r="A33" s="19">
        <f t="shared" si="7"/>
        <v>32</v>
      </c>
      <c r="B33" s="20">
        <f t="shared" si="8"/>
        <v>15</v>
      </c>
      <c r="C33" s="21">
        <v>43317</v>
      </c>
      <c r="D33" s="22">
        <v>0.49070601851851853</v>
      </c>
      <c r="E33" s="32">
        <v>-8.2899999999999991</v>
      </c>
      <c r="F33" s="23">
        <v>116.48</v>
      </c>
      <c r="G33" s="24">
        <v>6.9</v>
      </c>
      <c r="H33" s="32">
        <v>17.8</v>
      </c>
      <c r="I33" s="25" t="s">
        <v>20</v>
      </c>
      <c r="J33" s="26" t="s">
        <v>16</v>
      </c>
      <c r="K33">
        <v>1141</v>
      </c>
      <c r="L33">
        <v>66.881610355374306</v>
      </c>
      <c r="M33">
        <v>69.20975222992864</v>
      </c>
      <c r="N33">
        <f t="shared" si="0"/>
        <v>0</v>
      </c>
      <c r="O33">
        <f t="shared" si="1"/>
        <v>1</v>
      </c>
      <c r="P33">
        <f t="shared" si="2"/>
        <v>0</v>
      </c>
      <c r="Q33">
        <f t="shared" si="3"/>
        <v>0</v>
      </c>
      <c r="R33">
        <f t="shared" si="4"/>
        <v>1</v>
      </c>
      <c r="S33">
        <v>1</v>
      </c>
      <c r="T33">
        <f t="shared" si="5"/>
        <v>1.0977481622955936</v>
      </c>
      <c r="U33">
        <v>0.43751351624711554</v>
      </c>
      <c r="V33">
        <f t="shared" si="6"/>
        <v>-0.66023464604847804</v>
      </c>
    </row>
    <row r="34" spans="1:22" x14ac:dyDescent="0.2">
      <c r="A34">
        <f t="shared" si="7"/>
        <v>33</v>
      </c>
      <c r="B34" s="2">
        <f t="shared" si="8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6">
        <v>4.4000000000000004</v>
      </c>
      <c r="H34" s="5">
        <v>10</v>
      </c>
      <c r="I34" s="7" t="s">
        <v>20</v>
      </c>
      <c r="J34" s="8" t="s">
        <v>18</v>
      </c>
      <c r="K34">
        <v>283</v>
      </c>
      <c r="L34">
        <v>154.91870209025714</v>
      </c>
      <c r="M34">
        <v>155.24111651662983</v>
      </c>
      <c r="N34">
        <f t="shared" ref="N34:N65" si="9">IF(I34="normal",1,0)</f>
        <v>0</v>
      </c>
      <c r="O34">
        <f t="shared" ref="O34:O65" si="10">IF(I34="reverse",1,0)</f>
        <v>1</v>
      </c>
      <c r="P34">
        <f t="shared" si="2"/>
        <v>0</v>
      </c>
      <c r="Q34">
        <f t="shared" si="3"/>
        <v>1</v>
      </c>
      <c r="R34">
        <f t="shared" si="4"/>
        <v>0</v>
      </c>
      <c r="S34">
        <v>1</v>
      </c>
      <c r="T34">
        <f t="shared" si="5"/>
        <v>-1.47970876615594</v>
      </c>
      <c r="U34">
        <v>-2.3183737035669285</v>
      </c>
      <c r="V34">
        <f t="shared" si="6"/>
        <v>-0.83866493741098846</v>
      </c>
    </row>
    <row r="35" spans="1:22" x14ac:dyDescent="0.2">
      <c r="A35">
        <f t="shared" si="7"/>
        <v>34</v>
      </c>
      <c r="B35" s="2">
        <f t="shared" si="8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6">
        <v>5.0999999999999996</v>
      </c>
      <c r="H35" s="5">
        <v>23</v>
      </c>
      <c r="I35" s="7" t="s">
        <v>20</v>
      </c>
      <c r="J35" s="8" t="s">
        <v>18</v>
      </c>
      <c r="K35">
        <v>283</v>
      </c>
      <c r="L35">
        <v>153.83691687865382</v>
      </c>
      <c r="M35">
        <v>155.5467678697627</v>
      </c>
      <c r="N35">
        <f t="shared" si="9"/>
        <v>0</v>
      </c>
      <c r="O35">
        <f t="shared" si="10"/>
        <v>1</v>
      </c>
      <c r="P35">
        <f t="shared" si="2"/>
        <v>0</v>
      </c>
      <c r="Q35">
        <f t="shared" si="3"/>
        <v>1</v>
      </c>
      <c r="R35">
        <f t="shared" si="4"/>
        <v>0</v>
      </c>
      <c r="S35">
        <v>1</v>
      </c>
      <c r="T35">
        <f t="shared" si="5"/>
        <v>-0.58093009813170182</v>
      </c>
      <c r="U35">
        <v>-1.1760173777036904</v>
      </c>
      <c r="V35">
        <f t="shared" si="6"/>
        <v>-0.59508727957198859</v>
      </c>
    </row>
    <row r="36" spans="1:22" x14ac:dyDescent="0.2">
      <c r="A36">
        <f t="shared" si="7"/>
        <v>35</v>
      </c>
      <c r="B36" s="2">
        <f t="shared" si="8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6">
        <v>5.0999999999999996</v>
      </c>
      <c r="H36" s="5">
        <v>23</v>
      </c>
      <c r="I36" s="7" t="s">
        <v>20</v>
      </c>
      <c r="J36" s="8" t="s">
        <v>16</v>
      </c>
      <c r="K36">
        <v>1141</v>
      </c>
      <c r="L36">
        <v>101.03942513429189</v>
      </c>
      <c r="M36">
        <v>103.6241546719112</v>
      </c>
      <c r="N36">
        <f t="shared" si="9"/>
        <v>0</v>
      </c>
      <c r="O36">
        <f t="shared" si="10"/>
        <v>1</v>
      </c>
      <c r="P36">
        <f t="shared" si="2"/>
        <v>0</v>
      </c>
      <c r="Q36">
        <f t="shared" si="3"/>
        <v>1</v>
      </c>
      <c r="R36">
        <f t="shared" si="4"/>
        <v>0</v>
      </c>
      <c r="S36">
        <v>1</v>
      </c>
      <c r="T36">
        <f t="shared" si="5"/>
        <v>-0.80367392522205705</v>
      </c>
      <c r="U36">
        <v>-1.3707084802220766</v>
      </c>
      <c r="V36">
        <f t="shared" si="6"/>
        <v>-0.56703455500001954</v>
      </c>
    </row>
    <row r="37" spans="1:22" x14ac:dyDescent="0.2">
      <c r="A37">
        <f t="shared" si="7"/>
        <v>36</v>
      </c>
      <c r="B37" s="2">
        <f t="shared" si="8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6">
        <v>3.9</v>
      </c>
      <c r="H37" s="5">
        <v>10</v>
      </c>
      <c r="I37" s="7" t="s">
        <v>20</v>
      </c>
      <c r="J37" s="8" t="s">
        <v>16</v>
      </c>
      <c r="K37">
        <v>1141</v>
      </c>
      <c r="L37">
        <v>96.076875672391154</v>
      </c>
      <c r="M37">
        <v>96.595890383432504</v>
      </c>
      <c r="N37">
        <f t="shared" si="9"/>
        <v>0</v>
      </c>
      <c r="O37">
        <f t="shared" si="10"/>
        <v>1</v>
      </c>
      <c r="P37">
        <f t="shared" si="2"/>
        <v>0</v>
      </c>
      <c r="Q37">
        <f t="shared" si="3"/>
        <v>1</v>
      </c>
      <c r="R37">
        <f t="shared" si="4"/>
        <v>0</v>
      </c>
      <c r="S37">
        <v>1</v>
      </c>
      <c r="T37">
        <f t="shared" si="5"/>
        <v>-2.3320755171007908</v>
      </c>
      <c r="U37">
        <v>-2.70744932875875</v>
      </c>
      <c r="V37">
        <f t="shared" si="6"/>
        <v>-0.37537381165795924</v>
      </c>
    </row>
    <row r="38" spans="1:22" x14ac:dyDescent="0.2">
      <c r="A38">
        <f t="shared" si="7"/>
        <v>37</v>
      </c>
      <c r="B38" s="2">
        <f t="shared" si="8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6">
        <v>4.4000000000000004</v>
      </c>
      <c r="H38" s="5">
        <v>11</v>
      </c>
      <c r="I38" s="7" t="s">
        <v>20</v>
      </c>
      <c r="J38" s="8" t="s">
        <v>13</v>
      </c>
      <c r="K38">
        <v>290</v>
      </c>
      <c r="L38">
        <v>254.16745999184849</v>
      </c>
      <c r="M38">
        <v>254.40538067955225</v>
      </c>
      <c r="N38">
        <f t="shared" si="9"/>
        <v>0</v>
      </c>
      <c r="O38">
        <f t="shared" si="10"/>
        <v>1</v>
      </c>
      <c r="P38">
        <f t="shared" si="2"/>
        <v>0</v>
      </c>
      <c r="Q38">
        <f t="shared" si="3"/>
        <v>1</v>
      </c>
      <c r="R38">
        <f t="shared" si="4"/>
        <v>0</v>
      </c>
      <c r="S38">
        <v>1</v>
      </c>
      <c r="T38">
        <f t="shared" si="5"/>
        <v>-1.7876569448222195</v>
      </c>
      <c r="U38">
        <v>-2.0798130762070972</v>
      </c>
      <c r="V38">
        <f t="shared" si="6"/>
        <v>-0.29215613138487773</v>
      </c>
    </row>
    <row r="39" spans="1:22" x14ac:dyDescent="0.2">
      <c r="A39">
        <f t="shared" si="7"/>
        <v>38</v>
      </c>
      <c r="B39" s="2">
        <f t="shared" si="8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6">
        <v>4.4000000000000004</v>
      </c>
      <c r="H39" s="5">
        <v>11</v>
      </c>
      <c r="I39" s="7" t="s">
        <v>20</v>
      </c>
      <c r="J39" s="8" t="s">
        <v>16</v>
      </c>
      <c r="K39">
        <v>1141</v>
      </c>
      <c r="L39">
        <v>104.48053403207783</v>
      </c>
      <c r="M39">
        <v>105.05799346850374</v>
      </c>
      <c r="N39">
        <f t="shared" si="9"/>
        <v>0</v>
      </c>
      <c r="O39">
        <f t="shared" si="10"/>
        <v>1</v>
      </c>
      <c r="P39">
        <f t="shared" si="2"/>
        <v>0</v>
      </c>
      <c r="Q39">
        <f t="shared" si="3"/>
        <v>1</v>
      </c>
      <c r="R39">
        <f t="shared" si="4"/>
        <v>0</v>
      </c>
      <c r="S39">
        <v>1</v>
      </c>
      <c r="T39">
        <f t="shared" si="5"/>
        <v>-1.6934672002729116</v>
      </c>
      <c r="U39">
        <v>-2.4064193330947687</v>
      </c>
      <c r="V39">
        <f t="shared" si="6"/>
        <v>-0.7129521328218571</v>
      </c>
    </row>
    <row r="40" spans="1:22" x14ac:dyDescent="0.2">
      <c r="A40">
        <f t="shared" si="7"/>
        <v>39</v>
      </c>
      <c r="B40" s="2">
        <f t="shared" si="8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6">
        <v>3.8</v>
      </c>
      <c r="H40" s="5">
        <v>14</v>
      </c>
      <c r="I40" s="7" t="s">
        <v>20</v>
      </c>
      <c r="J40" s="8" t="s">
        <v>16</v>
      </c>
      <c r="K40">
        <v>1141</v>
      </c>
      <c r="L40">
        <v>91.835397766047166</v>
      </c>
      <c r="M40">
        <v>92.896395424408695</v>
      </c>
      <c r="N40">
        <f t="shared" si="9"/>
        <v>0</v>
      </c>
      <c r="O40">
        <f t="shared" si="10"/>
        <v>1</v>
      </c>
      <c r="P40">
        <f t="shared" si="2"/>
        <v>0</v>
      </c>
      <c r="Q40">
        <f t="shared" si="3"/>
        <v>1</v>
      </c>
      <c r="R40">
        <f t="shared" si="4"/>
        <v>0</v>
      </c>
      <c r="S40">
        <v>1</v>
      </c>
      <c r="T40">
        <f t="shared" si="5"/>
        <v>-2.4510006602820025</v>
      </c>
      <c r="U40">
        <v>-2.4688887013989187</v>
      </c>
      <c r="V40">
        <f t="shared" si="6"/>
        <v>-1.788804111691622E-2</v>
      </c>
    </row>
    <row r="41" spans="1:22" x14ac:dyDescent="0.2">
      <c r="A41">
        <f t="shared" si="7"/>
        <v>40</v>
      </c>
      <c r="B41" s="2">
        <f t="shared" si="8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6">
        <v>4.5999999999999996</v>
      </c>
      <c r="H41" s="5">
        <v>12</v>
      </c>
      <c r="I41" s="7" t="s">
        <v>20</v>
      </c>
      <c r="J41" s="8" t="s">
        <v>13</v>
      </c>
      <c r="K41">
        <v>290</v>
      </c>
      <c r="L41">
        <v>240.35487107688945</v>
      </c>
      <c r="M41">
        <v>240.65424170454207</v>
      </c>
      <c r="N41">
        <f t="shared" si="9"/>
        <v>0</v>
      </c>
      <c r="O41">
        <f t="shared" si="10"/>
        <v>1</v>
      </c>
      <c r="P41">
        <f t="shared" si="2"/>
        <v>0</v>
      </c>
      <c r="Q41">
        <f t="shared" si="3"/>
        <v>1</v>
      </c>
      <c r="R41">
        <f t="shared" si="4"/>
        <v>0</v>
      </c>
      <c r="S41">
        <v>1</v>
      </c>
      <c r="T41">
        <f t="shared" si="5"/>
        <v>-1.480702179741286</v>
      </c>
      <c r="U41">
        <v>-1.6564040660028316</v>
      </c>
      <c r="V41">
        <f t="shared" si="6"/>
        <v>-0.17570188626154559</v>
      </c>
    </row>
    <row r="42" spans="1:22" x14ac:dyDescent="0.2">
      <c r="A42">
        <f t="shared" si="7"/>
        <v>41</v>
      </c>
      <c r="B42" s="2">
        <f t="shared" si="8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6">
        <v>4.5999999999999996</v>
      </c>
      <c r="H42" s="5">
        <v>12</v>
      </c>
      <c r="I42" s="7" t="s">
        <v>20</v>
      </c>
      <c r="J42" s="8" t="s">
        <v>18</v>
      </c>
      <c r="K42">
        <v>283</v>
      </c>
      <c r="L42">
        <v>141.11331413559105</v>
      </c>
      <c r="M42">
        <v>141.62262328572368</v>
      </c>
      <c r="N42">
        <f t="shared" si="9"/>
        <v>0</v>
      </c>
      <c r="O42">
        <f t="shared" si="10"/>
        <v>1</v>
      </c>
      <c r="P42">
        <f t="shared" si="2"/>
        <v>0</v>
      </c>
      <c r="Q42">
        <f t="shared" si="3"/>
        <v>1</v>
      </c>
      <c r="R42">
        <f t="shared" si="4"/>
        <v>0</v>
      </c>
      <c r="S42">
        <v>1</v>
      </c>
      <c r="T42">
        <f t="shared" si="5"/>
        <v>-1.1576748572295066</v>
      </c>
      <c r="U42">
        <v>-1.631687794976278</v>
      </c>
      <c r="V42">
        <f t="shared" si="6"/>
        <v>-0.47401293774677145</v>
      </c>
    </row>
    <row r="43" spans="1:22" x14ac:dyDescent="0.2">
      <c r="A43">
        <f t="shared" si="7"/>
        <v>42</v>
      </c>
      <c r="B43" s="2">
        <f t="shared" si="8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6">
        <v>6.1</v>
      </c>
      <c r="H43" s="5">
        <v>12</v>
      </c>
      <c r="I43" s="7" t="s">
        <v>20</v>
      </c>
      <c r="J43" s="8" t="s">
        <v>18</v>
      </c>
      <c r="K43">
        <v>283</v>
      </c>
      <c r="L43">
        <v>133.30300987573361</v>
      </c>
      <c r="M43">
        <v>133.8420428786483</v>
      </c>
      <c r="N43">
        <f t="shared" si="9"/>
        <v>0</v>
      </c>
      <c r="O43">
        <f t="shared" si="10"/>
        <v>1</v>
      </c>
      <c r="P43">
        <f t="shared" si="2"/>
        <v>0</v>
      </c>
      <c r="Q43">
        <f t="shared" si="3"/>
        <v>1</v>
      </c>
      <c r="R43">
        <f t="shared" si="4"/>
        <v>0</v>
      </c>
      <c r="S43">
        <v>1</v>
      </c>
      <c r="T43">
        <f t="shared" si="5"/>
        <v>0.60306339506226603</v>
      </c>
      <c r="U43">
        <v>-0.20857052661862299</v>
      </c>
      <c r="V43">
        <f t="shared" si="6"/>
        <v>-0.81163392168088899</v>
      </c>
    </row>
    <row r="44" spans="1:22" x14ac:dyDescent="0.2">
      <c r="A44">
        <f t="shared" si="7"/>
        <v>43</v>
      </c>
      <c r="B44" s="2">
        <f t="shared" si="8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6">
        <v>6.1</v>
      </c>
      <c r="H44" s="5">
        <v>12</v>
      </c>
      <c r="I44" s="7" t="s">
        <v>20</v>
      </c>
      <c r="J44" s="8" t="s">
        <v>16</v>
      </c>
      <c r="K44">
        <v>1141</v>
      </c>
      <c r="L44">
        <v>84.698985891143934</v>
      </c>
      <c r="M44">
        <v>85.544831585480367</v>
      </c>
      <c r="N44">
        <f t="shared" si="9"/>
        <v>0</v>
      </c>
      <c r="O44">
        <f t="shared" si="10"/>
        <v>1</v>
      </c>
      <c r="P44">
        <f t="shared" si="2"/>
        <v>0</v>
      </c>
      <c r="Q44">
        <f t="shared" si="3"/>
        <v>1</v>
      </c>
      <c r="R44">
        <f t="shared" si="4"/>
        <v>0</v>
      </c>
      <c r="S44">
        <v>1</v>
      </c>
      <c r="T44">
        <f t="shared" si="5"/>
        <v>0.37431844375009765</v>
      </c>
      <c r="U44">
        <v>-0.11363750772249541</v>
      </c>
      <c r="V44">
        <f t="shared" si="6"/>
        <v>-0.48795595147259307</v>
      </c>
    </row>
    <row r="45" spans="1:22" x14ac:dyDescent="0.2">
      <c r="A45">
        <f t="shared" si="7"/>
        <v>44</v>
      </c>
      <c r="B45" s="2">
        <f t="shared" si="8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6">
        <v>4.8</v>
      </c>
      <c r="H45" s="5">
        <v>10</v>
      </c>
      <c r="I45" s="7" t="s">
        <v>20</v>
      </c>
      <c r="J45" s="8" t="s">
        <v>13</v>
      </c>
      <c r="K45">
        <v>290</v>
      </c>
      <c r="L45">
        <v>209.11492183048009</v>
      </c>
      <c r="M45">
        <v>209.3538882661791</v>
      </c>
      <c r="N45">
        <f t="shared" si="9"/>
        <v>0</v>
      </c>
      <c r="O45">
        <f t="shared" si="10"/>
        <v>1</v>
      </c>
      <c r="P45">
        <f t="shared" si="2"/>
        <v>0</v>
      </c>
      <c r="Q45">
        <f t="shared" si="3"/>
        <v>1</v>
      </c>
      <c r="R45">
        <f t="shared" si="4"/>
        <v>0</v>
      </c>
      <c r="S45">
        <v>1</v>
      </c>
      <c r="T45">
        <f t="shared" si="5"/>
        <v>-1.1347878767773201</v>
      </c>
      <c r="U45">
        <v>-1.0355235660130946</v>
      </c>
      <c r="V45">
        <f t="shared" si="6"/>
        <v>9.9264310764225483E-2</v>
      </c>
    </row>
    <row r="46" spans="1:22" x14ac:dyDescent="0.2">
      <c r="A46">
        <f t="shared" si="7"/>
        <v>45</v>
      </c>
      <c r="B46" s="2">
        <f t="shared" si="8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6">
        <v>4</v>
      </c>
      <c r="H46" s="5">
        <v>10</v>
      </c>
      <c r="I46" s="7" t="s">
        <v>20</v>
      </c>
      <c r="J46" s="8" t="s">
        <v>12</v>
      </c>
      <c r="K46">
        <v>386</v>
      </c>
      <c r="L46">
        <v>266.53643214013192</v>
      </c>
      <c r="M46">
        <v>266.72395778780572</v>
      </c>
      <c r="N46">
        <f t="shared" si="9"/>
        <v>0</v>
      </c>
      <c r="O46">
        <f t="shared" si="10"/>
        <v>1</v>
      </c>
      <c r="P46">
        <f t="shared" si="2"/>
        <v>0</v>
      </c>
      <c r="Q46">
        <f t="shared" si="3"/>
        <v>1</v>
      </c>
      <c r="R46">
        <f t="shared" si="4"/>
        <v>0</v>
      </c>
      <c r="S46">
        <v>1</v>
      </c>
      <c r="T46">
        <f t="shared" si="5"/>
        <v>-2.482798879703346</v>
      </c>
      <c r="U46">
        <v>-2.3183737035669285</v>
      </c>
      <c r="V46">
        <f t="shared" si="6"/>
        <v>0.16442517613641749</v>
      </c>
    </row>
    <row r="47" spans="1:22" x14ac:dyDescent="0.2">
      <c r="A47">
        <f t="shared" si="7"/>
        <v>46</v>
      </c>
      <c r="B47" s="2">
        <f t="shared" si="8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6">
        <v>4</v>
      </c>
      <c r="H47" s="5">
        <v>10</v>
      </c>
      <c r="I47" s="7" t="s">
        <v>20</v>
      </c>
      <c r="J47" s="8" t="s">
        <v>18</v>
      </c>
      <c r="K47">
        <v>283</v>
      </c>
      <c r="L47">
        <v>125.86472859435281</v>
      </c>
      <c r="M47">
        <v>126.261355545274</v>
      </c>
      <c r="N47">
        <f t="shared" si="9"/>
        <v>0</v>
      </c>
      <c r="O47">
        <f t="shared" si="10"/>
        <v>1</v>
      </c>
      <c r="P47">
        <f t="shared" si="2"/>
        <v>0</v>
      </c>
      <c r="Q47">
        <f t="shared" si="3"/>
        <v>1</v>
      </c>
      <c r="R47">
        <f t="shared" si="4"/>
        <v>0</v>
      </c>
      <c r="S47">
        <v>1</v>
      </c>
      <c r="T47">
        <f t="shared" si="5"/>
        <v>-1.9087201329422656</v>
      </c>
      <c r="U47">
        <v>-2.1968546792237809</v>
      </c>
      <c r="V47">
        <f t="shared" si="6"/>
        <v>-0.28813454628151525</v>
      </c>
    </row>
    <row r="48" spans="1:22" x14ac:dyDescent="0.2">
      <c r="A48">
        <f t="shared" si="7"/>
        <v>47</v>
      </c>
      <c r="B48" s="2">
        <f t="shared" si="8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6">
        <v>4</v>
      </c>
      <c r="H48" s="5">
        <v>10</v>
      </c>
      <c r="I48" s="7" t="s">
        <v>20</v>
      </c>
      <c r="J48" s="8" t="s">
        <v>16</v>
      </c>
      <c r="K48">
        <v>1141</v>
      </c>
      <c r="L48">
        <v>87.215807594313191</v>
      </c>
      <c r="M48">
        <v>87.787226259452225</v>
      </c>
      <c r="N48">
        <f t="shared" si="9"/>
        <v>0</v>
      </c>
      <c r="O48">
        <f t="shared" si="10"/>
        <v>1</v>
      </c>
      <c r="P48">
        <f t="shared" si="2"/>
        <v>0</v>
      </c>
      <c r="Q48">
        <f t="shared" si="3"/>
        <v>1</v>
      </c>
      <c r="R48">
        <f t="shared" si="4"/>
        <v>0</v>
      </c>
      <c r="S48">
        <v>1</v>
      </c>
      <c r="T48">
        <f t="shared" si="5"/>
        <v>-2.1295513017005896</v>
      </c>
      <c r="U48">
        <v>-2.4688887013989187</v>
      </c>
      <c r="V48">
        <f t="shared" si="6"/>
        <v>-0.3393373996983291</v>
      </c>
    </row>
    <row r="49" spans="1:22" x14ac:dyDescent="0.2">
      <c r="A49">
        <f t="shared" si="7"/>
        <v>48</v>
      </c>
      <c r="B49" s="2">
        <f t="shared" si="8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6">
        <v>4.5</v>
      </c>
      <c r="H49" s="5">
        <v>10</v>
      </c>
      <c r="I49" s="7" t="s">
        <v>20</v>
      </c>
      <c r="J49" s="8" t="s">
        <v>16</v>
      </c>
      <c r="K49">
        <v>1141</v>
      </c>
      <c r="L49">
        <v>91.933864428229342</v>
      </c>
      <c r="M49">
        <v>92.47613437372938</v>
      </c>
      <c r="N49">
        <f t="shared" si="9"/>
        <v>0</v>
      </c>
      <c r="O49">
        <f t="shared" si="10"/>
        <v>1</v>
      </c>
      <c r="P49">
        <f t="shared" si="2"/>
        <v>0</v>
      </c>
      <c r="Q49">
        <f t="shared" si="3"/>
        <v>1</v>
      </c>
      <c r="R49">
        <f t="shared" si="4"/>
        <v>0</v>
      </c>
      <c r="S49">
        <v>1</v>
      </c>
      <c r="T49">
        <f t="shared" si="5"/>
        <v>-1.4846943178849359</v>
      </c>
      <c r="U49">
        <v>-2.2849003087516215</v>
      </c>
      <c r="V49">
        <f t="shared" si="6"/>
        <v>-0.80020599086668565</v>
      </c>
    </row>
    <row r="50" spans="1:22" x14ac:dyDescent="0.2">
      <c r="A50">
        <f t="shared" si="7"/>
        <v>49</v>
      </c>
      <c r="B50" s="2">
        <f t="shared" si="8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6">
        <v>4.5999999999999996</v>
      </c>
      <c r="H50" s="5">
        <v>10</v>
      </c>
      <c r="I50" s="7" t="s">
        <v>20</v>
      </c>
      <c r="J50" s="8" t="s">
        <v>13</v>
      </c>
      <c r="K50">
        <v>290</v>
      </c>
      <c r="L50">
        <v>192.58708677294078</v>
      </c>
      <c r="M50">
        <v>192.84653481898042</v>
      </c>
      <c r="N50">
        <f t="shared" si="9"/>
        <v>0</v>
      </c>
      <c r="O50">
        <f t="shared" si="10"/>
        <v>1</v>
      </c>
      <c r="P50">
        <f t="shared" si="2"/>
        <v>0</v>
      </c>
      <c r="Q50">
        <f t="shared" si="3"/>
        <v>1</v>
      </c>
      <c r="R50">
        <f t="shared" si="4"/>
        <v>0</v>
      </c>
      <c r="S50">
        <v>0</v>
      </c>
      <c r="T50">
        <f t="shared" si="5"/>
        <v>-1.3490476168799483</v>
      </c>
      <c r="U50">
        <v>-1.3748934602212244</v>
      </c>
      <c r="V50">
        <f t="shared" si="6"/>
        <v>-2.5845843341276042E-2</v>
      </c>
    </row>
    <row r="51" spans="1:22" x14ac:dyDescent="0.2">
      <c r="A51">
        <f t="shared" si="7"/>
        <v>50</v>
      </c>
      <c r="B51" s="2">
        <f t="shared" si="8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6">
        <v>4.5999999999999996</v>
      </c>
      <c r="H51" s="5">
        <v>10</v>
      </c>
      <c r="I51" s="7" t="s">
        <v>20</v>
      </c>
      <c r="J51" s="8" t="s">
        <v>18</v>
      </c>
      <c r="K51">
        <v>283</v>
      </c>
      <c r="L51">
        <v>94.763350515534441</v>
      </c>
      <c r="M51">
        <v>95.289519890332343</v>
      </c>
      <c r="N51">
        <f t="shared" si="9"/>
        <v>0</v>
      </c>
      <c r="O51">
        <f t="shared" si="10"/>
        <v>1</v>
      </c>
      <c r="P51">
        <f t="shared" si="2"/>
        <v>0</v>
      </c>
      <c r="Q51">
        <f t="shared" si="3"/>
        <v>1</v>
      </c>
      <c r="R51">
        <f t="shared" si="4"/>
        <v>0</v>
      </c>
      <c r="S51">
        <v>0</v>
      </c>
      <c r="T51">
        <f t="shared" si="5"/>
        <v>-0.92237316946775216</v>
      </c>
      <c r="U51">
        <v>-1.517343707902947</v>
      </c>
      <c r="V51">
        <f t="shared" si="6"/>
        <v>-0.59497053843519487</v>
      </c>
    </row>
    <row r="52" spans="1:22" x14ac:dyDescent="0.2">
      <c r="A52">
        <f t="shared" si="7"/>
        <v>51</v>
      </c>
      <c r="B52" s="2">
        <f t="shared" si="8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6">
        <v>4.5999999999999996</v>
      </c>
      <c r="H52" s="5">
        <v>10</v>
      </c>
      <c r="I52" s="7" t="s">
        <v>20</v>
      </c>
      <c r="J52" s="8" t="s">
        <v>16</v>
      </c>
      <c r="K52">
        <v>1141</v>
      </c>
      <c r="L52">
        <v>64.561395361687786</v>
      </c>
      <c r="M52">
        <v>65.331261820419186</v>
      </c>
      <c r="N52">
        <f t="shared" si="9"/>
        <v>0</v>
      </c>
      <c r="O52">
        <f t="shared" si="10"/>
        <v>1</v>
      </c>
      <c r="P52">
        <f t="shared" si="2"/>
        <v>0</v>
      </c>
      <c r="Q52">
        <f t="shared" si="3"/>
        <v>1</v>
      </c>
      <c r="R52">
        <f t="shared" si="4"/>
        <v>0</v>
      </c>
      <c r="S52">
        <v>0</v>
      </c>
      <c r="T52">
        <f t="shared" si="5"/>
        <v>-1.14940038098388</v>
      </c>
      <c r="U52">
        <v>-1.8536642407097819</v>
      </c>
      <c r="V52">
        <f t="shared" si="6"/>
        <v>-0.70426385972590189</v>
      </c>
    </row>
    <row r="53" spans="1:22" x14ac:dyDescent="0.2">
      <c r="A53">
        <f t="shared" si="7"/>
        <v>52</v>
      </c>
      <c r="B53" s="2">
        <f t="shared" si="8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6">
        <v>4.3</v>
      </c>
      <c r="H53" s="5">
        <v>10</v>
      </c>
      <c r="I53" s="7" t="s">
        <v>20</v>
      </c>
      <c r="J53" s="8" t="s">
        <v>18</v>
      </c>
      <c r="K53">
        <v>283</v>
      </c>
      <c r="L53">
        <v>98.832364451782198</v>
      </c>
      <c r="M53">
        <v>99.336983360327082</v>
      </c>
      <c r="N53">
        <f t="shared" si="9"/>
        <v>0</v>
      </c>
      <c r="O53">
        <f t="shared" si="10"/>
        <v>1</v>
      </c>
      <c r="P53">
        <f t="shared" si="2"/>
        <v>0</v>
      </c>
      <c r="Q53">
        <f t="shared" si="3"/>
        <v>1</v>
      </c>
      <c r="R53">
        <f t="shared" si="4"/>
        <v>0</v>
      </c>
      <c r="S53">
        <v>0</v>
      </c>
      <c r="T53">
        <f t="shared" si="5"/>
        <v>-1.3426688809397496</v>
      </c>
      <c r="U53">
        <v>-1.8623512887444933</v>
      </c>
      <c r="V53">
        <f t="shared" si="6"/>
        <v>-0.51968240780474373</v>
      </c>
    </row>
    <row r="54" spans="1:22" x14ac:dyDescent="0.2">
      <c r="A54">
        <f t="shared" si="7"/>
        <v>53</v>
      </c>
      <c r="B54" s="2">
        <f t="shared" si="8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6">
        <v>5.3</v>
      </c>
      <c r="H54" s="5">
        <v>10</v>
      </c>
      <c r="I54" s="7" t="s">
        <v>20</v>
      </c>
      <c r="J54" s="8" t="s">
        <v>18</v>
      </c>
      <c r="K54">
        <v>283</v>
      </c>
      <c r="L54">
        <v>90.807039760856895</v>
      </c>
      <c r="M54">
        <v>91.355998544867575</v>
      </c>
      <c r="N54">
        <f t="shared" si="9"/>
        <v>0</v>
      </c>
      <c r="O54">
        <f t="shared" si="10"/>
        <v>1</v>
      </c>
      <c r="P54">
        <f t="shared" si="2"/>
        <v>0</v>
      </c>
      <c r="Q54">
        <f t="shared" si="3"/>
        <v>1</v>
      </c>
      <c r="R54">
        <f t="shared" si="4"/>
        <v>0</v>
      </c>
      <c r="S54">
        <v>0</v>
      </c>
      <c r="T54">
        <f t="shared" si="5"/>
        <v>-5.0678130525128741E-2</v>
      </c>
      <c r="U54">
        <v>0.39706294519352675</v>
      </c>
      <c r="V54">
        <f t="shared" si="6"/>
        <v>0.44774107571865551</v>
      </c>
    </row>
    <row r="55" spans="1:22" x14ac:dyDescent="0.2">
      <c r="A55">
        <f t="shared" si="7"/>
        <v>54</v>
      </c>
      <c r="B55" s="2">
        <f t="shared" si="8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6">
        <v>5.3</v>
      </c>
      <c r="H55" s="5">
        <v>10</v>
      </c>
      <c r="I55" s="7" t="s">
        <v>20</v>
      </c>
      <c r="J55" s="8" t="s">
        <v>16</v>
      </c>
      <c r="K55">
        <v>1141</v>
      </c>
      <c r="L55">
        <v>57.669099196433656</v>
      </c>
      <c r="M55">
        <v>58.529693337041373</v>
      </c>
      <c r="N55">
        <f t="shared" si="9"/>
        <v>0</v>
      </c>
      <c r="O55">
        <f t="shared" si="10"/>
        <v>1</v>
      </c>
      <c r="P55">
        <f t="shared" si="2"/>
        <v>0</v>
      </c>
      <c r="Q55">
        <f t="shared" si="3"/>
        <v>1</v>
      </c>
      <c r="R55">
        <f t="shared" si="4"/>
        <v>0</v>
      </c>
      <c r="S55">
        <v>0</v>
      </c>
      <c r="T55">
        <f t="shared" si="5"/>
        <v>-0.25792089750658737</v>
      </c>
      <c r="U55">
        <v>-0.23366140416261941</v>
      </c>
      <c r="V55">
        <f t="shared" si="6"/>
        <v>2.4259493343967958E-2</v>
      </c>
    </row>
    <row r="56" spans="1:22" x14ac:dyDescent="0.2">
      <c r="A56">
        <f t="shared" si="7"/>
        <v>55</v>
      </c>
      <c r="B56" s="2">
        <f t="shared" si="8"/>
        <v>29</v>
      </c>
      <c r="C56" s="33">
        <v>43331</v>
      </c>
      <c r="D56" s="4">
        <v>0.17386574074043892</v>
      </c>
      <c r="E56" s="5">
        <v>-8.24</v>
      </c>
      <c r="F56" s="5">
        <v>116.66</v>
      </c>
      <c r="G56" s="6">
        <v>6.3</v>
      </c>
      <c r="H56" s="5">
        <v>10</v>
      </c>
      <c r="I56" s="2" t="s">
        <v>20</v>
      </c>
      <c r="J56" s="8" t="s">
        <v>15</v>
      </c>
      <c r="K56">
        <v>770</v>
      </c>
      <c r="L56">
        <v>72.173831697702084</v>
      </c>
      <c r="M56">
        <v>72.863310259198542</v>
      </c>
      <c r="N56">
        <f t="shared" si="9"/>
        <v>0</v>
      </c>
      <c r="O56">
        <f t="shared" si="10"/>
        <v>1</v>
      </c>
      <c r="P56">
        <f t="shared" si="2"/>
        <v>0</v>
      </c>
      <c r="Q56">
        <f t="shared" si="3"/>
        <v>1</v>
      </c>
      <c r="R56">
        <f t="shared" si="4"/>
        <v>0</v>
      </c>
      <c r="S56">
        <v>1</v>
      </c>
      <c r="T56">
        <f t="shared" si="5"/>
        <v>0.76806582861266504</v>
      </c>
      <c r="U56">
        <v>-0.1687581077114243</v>
      </c>
      <c r="V56">
        <f t="shared" si="6"/>
        <v>-0.93682393632408933</v>
      </c>
    </row>
    <row r="57" spans="1:22" x14ac:dyDescent="0.2">
      <c r="A57">
        <f t="shared" si="7"/>
        <v>56</v>
      </c>
      <c r="B57" s="2">
        <f t="shared" si="8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6">
        <v>6.3</v>
      </c>
      <c r="H57" s="5">
        <v>10</v>
      </c>
      <c r="I57" s="7" t="s">
        <v>20</v>
      </c>
      <c r="J57" s="8" t="s">
        <v>18</v>
      </c>
      <c r="K57">
        <v>283</v>
      </c>
      <c r="L57">
        <v>88.078759906858352</v>
      </c>
      <c r="M57">
        <v>88.644616005316408</v>
      </c>
      <c r="N57">
        <f t="shared" si="9"/>
        <v>0</v>
      </c>
      <c r="O57">
        <f t="shared" si="10"/>
        <v>1</v>
      </c>
      <c r="P57">
        <f t="shared" si="2"/>
        <v>0</v>
      </c>
      <c r="Q57">
        <f t="shared" si="3"/>
        <v>1</v>
      </c>
      <c r="R57">
        <f t="shared" si="4"/>
        <v>0</v>
      </c>
      <c r="S57">
        <v>0</v>
      </c>
      <c r="T57">
        <f t="shared" si="5"/>
        <v>0.99711886133987582</v>
      </c>
      <c r="U57">
        <v>0.27976990114925482</v>
      </c>
      <c r="V57">
        <f t="shared" si="6"/>
        <v>-0.717348960190621</v>
      </c>
    </row>
    <row r="58" spans="1:22" x14ac:dyDescent="0.2">
      <c r="A58">
        <f t="shared" si="7"/>
        <v>57</v>
      </c>
      <c r="B58" s="2">
        <f t="shared" si="8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6">
        <v>6.3</v>
      </c>
      <c r="H58" s="5">
        <v>10</v>
      </c>
      <c r="I58" s="7" t="s">
        <v>20</v>
      </c>
      <c r="J58" s="8" t="s">
        <v>16</v>
      </c>
      <c r="K58">
        <v>1141</v>
      </c>
      <c r="L58">
        <v>60.586448333172122</v>
      </c>
      <c r="M58">
        <v>61.406170061551101</v>
      </c>
      <c r="N58">
        <f t="shared" si="9"/>
        <v>0</v>
      </c>
      <c r="O58">
        <f t="shared" si="10"/>
        <v>1</v>
      </c>
      <c r="P58">
        <f t="shared" si="2"/>
        <v>0</v>
      </c>
      <c r="Q58">
        <f t="shared" si="3"/>
        <v>1</v>
      </c>
      <c r="R58">
        <f t="shared" si="4"/>
        <v>0</v>
      </c>
      <c r="S58">
        <v>0</v>
      </c>
      <c r="T58">
        <f t="shared" si="5"/>
        <v>0.72332524302399381</v>
      </c>
      <c r="U58">
        <v>0.50837365317487582</v>
      </c>
      <c r="V58">
        <f t="shared" si="6"/>
        <v>-0.214951589849118</v>
      </c>
    </row>
    <row r="59" spans="1:22" x14ac:dyDescent="0.2">
      <c r="A59">
        <f t="shared" si="7"/>
        <v>58</v>
      </c>
      <c r="B59" s="2">
        <f t="shared" si="8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6">
        <v>5</v>
      </c>
      <c r="H59" s="5">
        <v>10</v>
      </c>
      <c r="I59" s="7" t="s">
        <v>20</v>
      </c>
      <c r="J59" s="8" t="s">
        <v>18</v>
      </c>
      <c r="K59">
        <v>283</v>
      </c>
      <c r="L59">
        <v>57.516438882548499</v>
      </c>
      <c r="M59">
        <v>58.379283497915054</v>
      </c>
      <c r="N59">
        <f t="shared" si="9"/>
        <v>0</v>
      </c>
      <c r="O59">
        <f t="shared" si="10"/>
        <v>1</v>
      </c>
      <c r="P59">
        <f t="shared" si="2"/>
        <v>0</v>
      </c>
      <c r="Q59">
        <f t="shared" si="3"/>
        <v>1</v>
      </c>
      <c r="R59">
        <f t="shared" si="4"/>
        <v>0</v>
      </c>
      <c r="S59">
        <v>0</v>
      </c>
      <c r="T59">
        <f t="shared" si="5"/>
        <v>-0.14743423607364606</v>
      </c>
      <c r="U59">
        <v>-1.2550239616469723</v>
      </c>
      <c r="V59">
        <f t="shared" si="6"/>
        <v>-1.1075897255733262</v>
      </c>
    </row>
    <row r="60" spans="1:22" x14ac:dyDescent="0.2">
      <c r="A60">
        <f t="shared" si="7"/>
        <v>59</v>
      </c>
      <c r="B60" s="2">
        <f t="shared" si="8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6">
        <v>4.8</v>
      </c>
      <c r="H60" s="5">
        <v>10</v>
      </c>
      <c r="I60" s="7" t="s">
        <v>20</v>
      </c>
      <c r="J60" s="8" t="s">
        <v>12</v>
      </c>
      <c r="K60">
        <v>386</v>
      </c>
      <c r="L60">
        <v>235.11317602344423</v>
      </c>
      <c r="M60">
        <v>235.32574347026096</v>
      </c>
      <c r="N60">
        <f t="shared" si="9"/>
        <v>0</v>
      </c>
      <c r="O60">
        <f t="shared" si="10"/>
        <v>1</v>
      </c>
      <c r="P60">
        <f t="shared" si="2"/>
        <v>0</v>
      </c>
      <c r="Q60">
        <f t="shared" si="3"/>
        <v>1</v>
      </c>
      <c r="R60">
        <f t="shared" si="4"/>
        <v>0</v>
      </c>
      <c r="S60">
        <v>0</v>
      </c>
      <c r="T60">
        <f t="shared" si="5"/>
        <v>-1.2952399669997787</v>
      </c>
      <c r="U60">
        <v>-1.4838703130876405</v>
      </c>
      <c r="V60">
        <f t="shared" si="6"/>
        <v>-0.18863034608786178</v>
      </c>
    </row>
    <row r="61" spans="1:22" x14ac:dyDescent="0.2">
      <c r="A61">
        <f t="shared" si="7"/>
        <v>60</v>
      </c>
      <c r="B61" s="2">
        <f t="shared" si="8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6">
        <v>4.5</v>
      </c>
      <c r="H61" s="5">
        <v>10</v>
      </c>
      <c r="I61" s="7" t="s">
        <v>20</v>
      </c>
      <c r="J61" s="8" t="s">
        <v>18</v>
      </c>
      <c r="K61">
        <v>283</v>
      </c>
      <c r="L61">
        <v>97.287891794045379</v>
      </c>
      <c r="M61">
        <v>97.800480007666025</v>
      </c>
      <c r="N61">
        <f t="shared" si="9"/>
        <v>0</v>
      </c>
      <c r="O61">
        <f t="shared" si="10"/>
        <v>1</v>
      </c>
      <c r="P61">
        <f t="shared" si="2"/>
        <v>0</v>
      </c>
      <c r="Q61">
        <f t="shared" si="3"/>
        <v>1</v>
      </c>
      <c r="R61">
        <f t="shared" si="4"/>
        <v>0</v>
      </c>
      <c r="S61">
        <v>0</v>
      </c>
      <c r="T61">
        <f t="shared" si="5"/>
        <v>-1.0675027732320315</v>
      </c>
      <c r="U61">
        <v>-1.1240123533293405</v>
      </c>
      <c r="V61">
        <f t="shared" si="6"/>
        <v>-5.6509580097308998E-2</v>
      </c>
    </row>
    <row r="62" spans="1:22" x14ac:dyDescent="0.2">
      <c r="A62">
        <f t="shared" si="7"/>
        <v>61</v>
      </c>
      <c r="B62" s="2">
        <f t="shared" si="8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6">
        <v>4.7</v>
      </c>
      <c r="H62" s="5">
        <v>10</v>
      </c>
      <c r="I62" s="7" t="s">
        <v>20</v>
      </c>
      <c r="J62" s="8" t="s">
        <v>12</v>
      </c>
      <c r="K62">
        <v>386</v>
      </c>
      <c r="L62">
        <v>246.0405833277724</v>
      </c>
      <c r="M62">
        <v>246.243717979303</v>
      </c>
      <c r="N62">
        <f t="shared" si="9"/>
        <v>0</v>
      </c>
      <c r="O62">
        <f t="shared" si="10"/>
        <v>1</v>
      </c>
      <c r="P62">
        <f t="shared" si="2"/>
        <v>0</v>
      </c>
      <c r="Q62">
        <f t="shared" si="3"/>
        <v>1</v>
      </c>
      <c r="R62">
        <f t="shared" si="4"/>
        <v>0</v>
      </c>
      <c r="S62">
        <v>1</v>
      </c>
      <c r="T62">
        <f t="shared" si="5"/>
        <v>-1.4531722901904851</v>
      </c>
      <c r="U62">
        <v>-2.1818730675350593</v>
      </c>
      <c r="V62">
        <f t="shared" si="6"/>
        <v>-0.72870077734457417</v>
      </c>
    </row>
    <row r="63" spans="1:22" x14ac:dyDescent="0.2">
      <c r="A63">
        <f t="shared" si="7"/>
        <v>62</v>
      </c>
      <c r="B63" s="2">
        <f t="shared" si="8"/>
        <v>33</v>
      </c>
      <c r="C63" s="27">
        <v>43331</v>
      </c>
      <c r="D63" s="28">
        <v>0.97910879629629621</v>
      </c>
      <c r="E63" s="29">
        <v>-8.17</v>
      </c>
      <c r="F63" s="29">
        <v>116.51</v>
      </c>
      <c r="G63" s="6">
        <v>4.7</v>
      </c>
      <c r="H63" s="5">
        <v>10</v>
      </c>
      <c r="I63" s="2" t="s">
        <v>20</v>
      </c>
      <c r="J63" s="8" t="s">
        <v>15</v>
      </c>
      <c r="K63">
        <v>770</v>
      </c>
      <c r="L63">
        <v>71.029525733797968</v>
      </c>
      <c r="M63">
        <v>71.730004363364344</v>
      </c>
      <c r="N63">
        <f t="shared" si="9"/>
        <v>0</v>
      </c>
      <c r="O63">
        <f t="shared" si="10"/>
        <v>1</v>
      </c>
      <c r="P63">
        <f t="shared" si="2"/>
        <v>0</v>
      </c>
      <c r="Q63">
        <f t="shared" si="3"/>
        <v>1</v>
      </c>
      <c r="R63">
        <f t="shared" si="4"/>
        <v>0</v>
      </c>
      <c r="S63">
        <v>1</v>
      </c>
      <c r="T63">
        <f t="shared" si="5"/>
        <v>-0.95198021397759569</v>
      </c>
      <c r="U63">
        <v>-1.9354153065836122</v>
      </c>
      <c r="V63">
        <f t="shared" si="6"/>
        <v>-0.98343509260601647</v>
      </c>
    </row>
    <row r="64" spans="1:22" x14ac:dyDescent="0.2">
      <c r="A64">
        <f t="shared" si="7"/>
        <v>63</v>
      </c>
      <c r="B64" s="2">
        <f t="shared" si="8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6">
        <v>4.7</v>
      </c>
      <c r="H64" s="5">
        <v>10</v>
      </c>
      <c r="I64" s="7" t="s">
        <v>20</v>
      </c>
      <c r="J64" s="8" t="s">
        <v>16</v>
      </c>
      <c r="K64">
        <v>1141</v>
      </c>
      <c r="L64">
        <v>75.443494535765566</v>
      </c>
      <c r="M64">
        <v>76.103356481617084</v>
      </c>
      <c r="N64">
        <f t="shared" si="9"/>
        <v>0</v>
      </c>
      <c r="O64">
        <f t="shared" si="10"/>
        <v>1</v>
      </c>
      <c r="P64">
        <f t="shared" si="2"/>
        <v>0</v>
      </c>
      <c r="Q64">
        <f t="shared" si="3"/>
        <v>1</v>
      </c>
      <c r="R64">
        <f t="shared" si="4"/>
        <v>0</v>
      </c>
      <c r="S64">
        <v>1</v>
      </c>
      <c r="T64">
        <f t="shared" si="5"/>
        <v>-1.1138171213821579</v>
      </c>
      <c r="U64">
        <v>-2.0084793244227312</v>
      </c>
      <c r="V64">
        <f t="shared" si="6"/>
        <v>-0.89466220304057331</v>
      </c>
    </row>
    <row r="65" spans="1:22" x14ac:dyDescent="0.2">
      <c r="A65">
        <f t="shared" si="7"/>
        <v>64</v>
      </c>
      <c r="B65" s="2">
        <f t="shared" si="8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6">
        <v>5.0999999999999996</v>
      </c>
      <c r="H65" s="5">
        <v>10</v>
      </c>
      <c r="I65" s="7" t="s">
        <v>20</v>
      </c>
      <c r="J65" s="8" t="s">
        <v>13</v>
      </c>
      <c r="K65">
        <v>290</v>
      </c>
      <c r="L65">
        <v>177.63849874835083</v>
      </c>
      <c r="M65">
        <v>177.91974662068245</v>
      </c>
      <c r="N65">
        <f t="shared" si="9"/>
        <v>0</v>
      </c>
      <c r="O65">
        <f t="shared" si="10"/>
        <v>1</v>
      </c>
      <c r="P65">
        <f t="shared" si="2"/>
        <v>0</v>
      </c>
      <c r="Q65">
        <f t="shared" si="3"/>
        <v>1</v>
      </c>
      <c r="R65">
        <f t="shared" si="4"/>
        <v>0</v>
      </c>
      <c r="S65">
        <v>0</v>
      </c>
      <c r="T65">
        <f t="shared" si="5"/>
        <v>-0.66431686151578206</v>
      </c>
      <c r="U65">
        <v>-0.96831041279894781</v>
      </c>
      <c r="V65">
        <f t="shared" si="6"/>
        <v>-0.30399355128316574</v>
      </c>
    </row>
    <row r="66" spans="1:22" x14ac:dyDescent="0.2">
      <c r="A66">
        <f t="shared" si="7"/>
        <v>65</v>
      </c>
      <c r="B66" s="2">
        <f t="shared" si="8"/>
        <v>34</v>
      </c>
      <c r="C66" s="27">
        <v>43332</v>
      </c>
      <c r="D66" s="28">
        <v>6.2870370370370368E-2</v>
      </c>
      <c r="E66" s="29">
        <v>-8.27</v>
      </c>
      <c r="F66" s="29">
        <v>116.73</v>
      </c>
      <c r="G66" s="6">
        <v>5.0999999999999996</v>
      </c>
      <c r="H66" s="29">
        <v>10</v>
      </c>
      <c r="I66" s="2" t="s">
        <v>20</v>
      </c>
      <c r="J66" s="8" t="s">
        <v>15</v>
      </c>
      <c r="K66">
        <v>770</v>
      </c>
      <c r="L66">
        <v>74.49554657433103</v>
      </c>
      <c r="M66">
        <v>75.163731010430311</v>
      </c>
      <c r="N66">
        <f t="shared" ref="N66:N97" si="11">IF(I66="normal",1,0)</f>
        <v>0</v>
      </c>
      <c r="O66">
        <f t="shared" ref="O66:O97" si="12">IF(I66="reverse",1,0)</f>
        <v>1</v>
      </c>
      <c r="P66">
        <f t="shared" si="2"/>
        <v>0</v>
      </c>
      <c r="Q66">
        <f t="shared" si="3"/>
        <v>1</v>
      </c>
      <c r="R66">
        <f t="shared" si="4"/>
        <v>0</v>
      </c>
      <c r="S66">
        <v>1</v>
      </c>
      <c r="T66">
        <f t="shared" si="5"/>
        <v>-0.49649167340727918</v>
      </c>
      <c r="U66">
        <v>-1.70744932875875</v>
      </c>
      <c r="V66">
        <f t="shared" si="6"/>
        <v>-1.2109576553514709</v>
      </c>
    </row>
    <row r="67" spans="1:22" x14ac:dyDescent="0.2">
      <c r="A67">
        <f t="shared" si="7"/>
        <v>66</v>
      </c>
      <c r="B67" s="2">
        <f t="shared" si="8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6">
        <v>5.0999999999999996</v>
      </c>
      <c r="H67" s="5">
        <v>10</v>
      </c>
      <c r="I67" s="7" t="s">
        <v>20</v>
      </c>
      <c r="J67" s="8" t="s">
        <v>18</v>
      </c>
      <c r="K67">
        <v>283</v>
      </c>
      <c r="L67">
        <v>79.652811637316844</v>
      </c>
      <c r="M67">
        <v>80.278081701856067</v>
      </c>
      <c r="N67">
        <f t="shared" si="11"/>
        <v>0</v>
      </c>
      <c r="O67">
        <f t="shared" si="12"/>
        <v>1</v>
      </c>
      <c r="P67">
        <f t="shared" ref="P67:P130" si="13">IF(I67="strike slip",1,0)</f>
        <v>0</v>
      </c>
      <c r="Q67">
        <f t="shared" ref="Q67:Q130" si="14">IF(G67&gt;$X$3,0,1)</f>
        <v>1</v>
      </c>
      <c r="R67">
        <f t="shared" ref="R67:R130" si="15">IF(G67&gt;$X$3,1,0)</f>
        <v>0</v>
      </c>
      <c r="S67">
        <v>0</v>
      </c>
      <c r="T67">
        <f t="shared" ref="T67:T130" si="16">$X$6+($X$7+$X$8*(G67-$X$2))*LOG10((SQRT((M67^2)+($X$9^2))/$X$4))-$X$10*(SQRT((M67^2)+($X$9^2))-$X$4)+Q67*$X$11*(G67-$X$3)+Q67*$X$12*((G67-$X$3)^2)+R67*$X$13*(G67-$X$3)+$X$14*LOG10(K67/$X$5)+$X$15*N67+$X$16*O67+$X$17*P67</f>
        <v>-0.20974994604442013</v>
      </c>
      <c r="U67">
        <v>-1.1154587193014542</v>
      </c>
      <c r="V67">
        <f t="shared" ref="V67:V130" si="17">U67-T67</f>
        <v>-0.90570877325703414</v>
      </c>
    </row>
    <row r="68" spans="1:22" x14ac:dyDescent="0.2">
      <c r="A68">
        <f t="shared" ref="A68:A131" si="18">A67+1</f>
        <v>67</v>
      </c>
      <c r="B68" s="2">
        <f t="shared" si="8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6">
        <v>5.0999999999999996</v>
      </c>
      <c r="H68" s="5">
        <v>10</v>
      </c>
      <c r="I68" s="7" t="s">
        <v>20</v>
      </c>
      <c r="J68" s="8" t="s">
        <v>16</v>
      </c>
      <c r="K68">
        <v>1141</v>
      </c>
      <c r="L68">
        <v>54.678992298396473</v>
      </c>
      <c r="M68">
        <v>55.585899280016157</v>
      </c>
      <c r="N68">
        <f t="shared" si="11"/>
        <v>0</v>
      </c>
      <c r="O68">
        <f t="shared" si="12"/>
        <v>1</v>
      </c>
      <c r="P68">
        <f t="shared" si="13"/>
        <v>0</v>
      </c>
      <c r="Q68">
        <f t="shared" si="14"/>
        <v>1</v>
      </c>
      <c r="R68">
        <f t="shared" si="15"/>
        <v>0</v>
      </c>
      <c r="S68">
        <v>0</v>
      </c>
      <c r="T68">
        <f t="shared" si="16"/>
        <v>-0.45484344793517584</v>
      </c>
      <c r="U68">
        <v>-1.1598646530428725</v>
      </c>
      <c r="V68">
        <f t="shared" si="17"/>
        <v>-0.70502120510769661</v>
      </c>
    </row>
    <row r="69" spans="1:22" x14ac:dyDescent="0.2">
      <c r="A69">
        <f t="shared" si="18"/>
        <v>68</v>
      </c>
      <c r="B69" s="2">
        <f t="shared" si="8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6">
        <v>5</v>
      </c>
      <c r="H69" s="5">
        <v>10</v>
      </c>
      <c r="I69" s="7" t="s">
        <v>20</v>
      </c>
      <c r="J69" s="8" t="s">
        <v>13</v>
      </c>
      <c r="K69">
        <v>290</v>
      </c>
      <c r="L69">
        <v>206.86371328942161</v>
      </c>
      <c r="M69">
        <v>207.10527727677058</v>
      </c>
      <c r="N69">
        <f t="shared" si="11"/>
        <v>0</v>
      </c>
      <c r="O69">
        <f t="shared" si="12"/>
        <v>1</v>
      </c>
      <c r="P69">
        <f t="shared" si="13"/>
        <v>0</v>
      </c>
      <c r="Q69">
        <f t="shared" si="14"/>
        <v>1</v>
      </c>
      <c r="R69">
        <f t="shared" si="15"/>
        <v>0</v>
      </c>
      <c r="S69">
        <v>1</v>
      </c>
      <c r="T69">
        <f t="shared" si="16"/>
        <v>-0.87386489042317617</v>
      </c>
      <c r="U69">
        <v>-1.0291973828117476</v>
      </c>
      <c r="V69">
        <f t="shared" si="17"/>
        <v>-0.15533249238857139</v>
      </c>
    </row>
    <row r="70" spans="1:22" x14ac:dyDescent="0.2">
      <c r="A70">
        <f t="shared" si="18"/>
        <v>69</v>
      </c>
      <c r="B70" s="2">
        <f t="shared" si="8"/>
        <v>36</v>
      </c>
      <c r="C70" s="27">
        <v>43336</v>
      </c>
      <c r="D70" s="28">
        <v>4.763888888888889E-2</v>
      </c>
      <c r="E70" s="29">
        <v>-8.26</v>
      </c>
      <c r="F70" s="29">
        <v>116.14</v>
      </c>
      <c r="G70" s="6">
        <v>4.4000000000000004</v>
      </c>
      <c r="H70" s="29">
        <v>10</v>
      </c>
      <c r="I70" s="2" t="s">
        <v>20</v>
      </c>
      <c r="J70" s="8" t="s">
        <v>15</v>
      </c>
      <c r="K70">
        <v>770</v>
      </c>
      <c r="L70">
        <v>58.306907947928202</v>
      </c>
      <c r="M70">
        <v>59.158224402429227</v>
      </c>
      <c r="N70">
        <f t="shared" si="11"/>
        <v>0</v>
      </c>
      <c r="O70">
        <f t="shared" si="12"/>
        <v>1</v>
      </c>
      <c r="P70">
        <f t="shared" si="13"/>
        <v>0</v>
      </c>
      <c r="Q70">
        <f t="shared" si="14"/>
        <v>1</v>
      </c>
      <c r="R70">
        <f t="shared" si="15"/>
        <v>0</v>
      </c>
      <c r="S70">
        <v>1</v>
      </c>
      <c r="T70">
        <f t="shared" si="16"/>
        <v>-1.2184508838624515</v>
      </c>
      <c r="U70">
        <v>-1.9308113056902003</v>
      </c>
      <c r="V70">
        <f t="shared" si="17"/>
        <v>-0.71236042182774884</v>
      </c>
    </row>
    <row r="71" spans="1:22" x14ac:dyDescent="0.2">
      <c r="A71">
        <f t="shared" si="18"/>
        <v>70</v>
      </c>
      <c r="B71" s="2">
        <f t="shared" ref="B71:B134" si="19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6">
        <v>4.4000000000000004</v>
      </c>
      <c r="H71" s="5">
        <v>10</v>
      </c>
      <c r="I71" s="7" t="s">
        <v>20</v>
      </c>
      <c r="J71" s="8" t="s">
        <v>18</v>
      </c>
      <c r="K71">
        <v>283</v>
      </c>
      <c r="L71">
        <v>143.68082400490985</v>
      </c>
      <c r="M71">
        <v>144.02839715392892</v>
      </c>
      <c r="N71">
        <f t="shared" si="11"/>
        <v>0</v>
      </c>
      <c r="O71">
        <f t="shared" si="12"/>
        <v>1</v>
      </c>
      <c r="P71">
        <f t="shared" si="13"/>
        <v>0</v>
      </c>
      <c r="Q71">
        <f t="shared" si="14"/>
        <v>1</v>
      </c>
      <c r="R71">
        <f t="shared" si="15"/>
        <v>0</v>
      </c>
      <c r="S71">
        <v>1</v>
      </c>
      <c r="T71">
        <f t="shared" si="16"/>
        <v>-1.434185671297413</v>
      </c>
      <c r="U71">
        <v>-1.9877829818436188</v>
      </c>
      <c r="V71">
        <f t="shared" si="17"/>
        <v>-0.55359731054620576</v>
      </c>
    </row>
    <row r="72" spans="1:22" x14ac:dyDescent="0.2">
      <c r="A72">
        <f t="shared" si="18"/>
        <v>71</v>
      </c>
      <c r="B72" s="2">
        <f t="shared" si="19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6">
        <v>4.4000000000000004</v>
      </c>
      <c r="H72" s="5">
        <v>10</v>
      </c>
      <c r="I72" s="7" t="s">
        <v>20</v>
      </c>
      <c r="J72" s="8" t="s">
        <v>16</v>
      </c>
      <c r="K72">
        <v>1141</v>
      </c>
      <c r="L72">
        <v>98.06698322263297</v>
      </c>
      <c r="M72">
        <v>98.575520279571322</v>
      </c>
      <c r="N72">
        <f t="shared" si="11"/>
        <v>0</v>
      </c>
      <c r="O72">
        <f t="shared" si="12"/>
        <v>1</v>
      </c>
      <c r="P72">
        <f t="shared" si="13"/>
        <v>0</v>
      </c>
      <c r="Q72">
        <f t="shared" si="14"/>
        <v>1</v>
      </c>
      <c r="R72">
        <f t="shared" si="15"/>
        <v>0</v>
      </c>
      <c r="S72">
        <v>1</v>
      </c>
      <c r="T72">
        <f t="shared" si="16"/>
        <v>-1.6548330104299169</v>
      </c>
      <c r="U72">
        <v>-2.3183737035669285</v>
      </c>
      <c r="V72">
        <f t="shared" si="17"/>
        <v>-0.66354069313701158</v>
      </c>
    </row>
    <row r="73" spans="1:22" x14ac:dyDescent="0.2">
      <c r="A73">
        <f t="shared" si="18"/>
        <v>72</v>
      </c>
      <c r="B73" s="2">
        <f t="shared" si="19"/>
        <v>37</v>
      </c>
      <c r="C73" s="27">
        <v>43337</v>
      </c>
      <c r="D73" s="28">
        <v>0.46883101851851849</v>
      </c>
      <c r="E73" s="29">
        <v>-8.2799999999999994</v>
      </c>
      <c r="F73" s="29">
        <v>116.16</v>
      </c>
      <c r="G73" s="6">
        <v>3.5</v>
      </c>
      <c r="H73" s="29">
        <v>10</v>
      </c>
      <c r="I73" s="2" t="s">
        <v>20</v>
      </c>
      <c r="J73" s="8" t="s">
        <v>15</v>
      </c>
      <c r="K73">
        <v>770</v>
      </c>
      <c r="L73">
        <v>55.597799097160255</v>
      </c>
      <c r="M73">
        <v>56.489957199914691</v>
      </c>
      <c r="N73">
        <f t="shared" si="11"/>
        <v>0</v>
      </c>
      <c r="O73">
        <f t="shared" si="12"/>
        <v>1</v>
      </c>
      <c r="P73">
        <f t="shared" si="13"/>
        <v>0</v>
      </c>
      <c r="Q73">
        <f t="shared" si="14"/>
        <v>1</v>
      </c>
      <c r="R73">
        <f t="shared" si="15"/>
        <v>0</v>
      </c>
      <c r="S73">
        <v>1</v>
      </c>
      <c r="T73">
        <f t="shared" si="16"/>
        <v>-2.4377177992738832</v>
      </c>
      <c r="U73">
        <v>-2.8579643265907406</v>
      </c>
      <c r="V73">
        <f t="shared" si="17"/>
        <v>-0.42024652731685741</v>
      </c>
    </row>
    <row r="74" spans="1:22" x14ac:dyDescent="0.2">
      <c r="A74">
        <f t="shared" si="18"/>
        <v>73</v>
      </c>
      <c r="B74" s="2">
        <f t="shared" si="19"/>
        <v>38</v>
      </c>
      <c r="C74" s="27">
        <v>43338</v>
      </c>
      <c r="D74" s="28">
        <v>6.4780092592592597E-2</v>
      </c>
      <c r="E74" s="29">
        <v>-8.5500000000000007</v>
      </c>
      <c r="F74" s="29">
        <v>116.93</v>
      </c>
      <c r="G74" s="6">
        <v>5.4</v>
      </c>
      <c r="H74" s="29">
        <v>11</v>
      </c>
      <c r="I74" s="2" t="s">
        <v>20</v>
      </c>
      <c r="J74" s="8" t="s">
        <v>15</v>
      </c>
      <c r="K74">
        <v>770</v>
      </c>
      <c r="L74">
        <v>76.217387166239277</v>
      </c>
      <c r="M74">
        <v>77.007078287962699</v>
      </c>
      <c r="N74">
        <f t="shared" si="11"/>
        <v>0</v>
      </c>
      <c r="O74">
        <f t="shared" si="12"/>
        <v>1</v>
      </c>
      <c r="P74">
        <f t="shared" si="13"/>
        <v>0</v>
      </c>
      <c r="Q74">
        <f t="shared" si="14"/>
        <v>1</v>
      </c>
      <c r="R74">
        <f t="shared" si="15"/>
        <v>0</v>
      </c>
      <c r="S74">
        <v>0</v>
      </c>
      <c r="T74">
        <f t="shared" si="16"/>
        <v>-0.16920026791551221</v>
      </c>
      <c r="U74">
        <v>-0.55879892237301032</v>
      </c>
      <c r="V74">
        <f t="shared" si="17"/>
        <v>-0.38959865445749808</v>
      </c>
    </row>
    <row r="75" spans="1:22" x14ac:dyDescent="0.2">
      <c r="A75">
        <f t="shared" si="18"/>
        <v>74</v>
      </c>
      <c r="B75" s="2">
        <f t="shared" si="19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6">
        <v>5.4</v>
      </c>
      <c r="H75" s="5">
        <v>11</v>
      </c>
      <c r="I75" s="7" t="s">
        <v>20</v>
      </c>
      <c r="J75" s="8" t="s">
        <v>18</v>
      </c>
      <c r="K75">
        <v>283</v>
      </c>
      <c r="L75">
        <v>54.101593478657179</v>
      </c>
      <c r="M75">
        <v>55.208535725283284</v>
      </c>
      <c r="N75">
        <f t="shared" si="11"/>
        <v>0</v>
      </c>
      <c r="O75">
        <f t="shared" si="12"/>
        <v>1</v>
      </c>
      <c r="P75">
        <f t="shared" si="13"/>
        <v>0</v>
      </c>
      <c r="Q75">
        <f t="shared" si="14"/>
        <v>1</v>
      </c>
      <c r="R75">
        <f t="shared" si="15"/>
        <v>0</v>
      </c>
      <c r="S75">
        <v>0</v>
      </c>
      <c r="T75">
        <f t="shared" si="16"/>
        <v>0.33412094830357275</v>
      </c>
      <c r="U75">
        <v>-0.10668863586860865</v>
      </c>
      <c r="V75">
        <f t="shared" si="17"/>
        <v>-0.44080958417218141</v>
      </c>
    </row>
    <row r="76" spans="1:22" x14ac:dyDescent="0.2">
      <c r="A76">
        <f t="shared" si="18"/>
        <v>75</v>
      </c>
      <c r="B76" s="2">
        <f t="shared" si="19"/>
        <v>38</v>
      </c>
      <c r="C76" s="3">
        <v>43338</v>
      </c>
      <c r="D76" s="4">
        <v>6.4780092592592597E-2</v>
      </c>
      <c r="E76" s="29">
        <v>-8.5500000000000007</v>
      </c>
      <c r="F76" s="29">
        <v>116.93</v>
      </c>
      <c r="G76" s="6">
        <v>5.4</v>
      </c>
      <c r="H76" s="5">
        <v>11</v>
      </c>
      <c r="I76" s="7" t="s">
        <v>20</v>
      </c>
      <c r="J76" s="8" t="s">
        <v>16</v>
      </c>
      <c r="K76">
        <v>1141</v>
      </c>
      <c r="L76">
        <v>21.567600659509985</v>
      </c>
      <c r="M76">
        <v>24.210770293571734</v>
      </c>
      <c r="N76">
        <f t="shared" si="11"/>
        <v>0</v>
      </c>
      <c r="O76">
        <f t="shared" si="12"/>
        <v>1</v>
      </c>
      <c r="P76">
        <f t="shared" si="13"/>
        <v>0</v>
      </c>
      <c r="Q76">
        <f t="shared" si="14"/>
        <v>1</v>
      </c>
      <c r="R76">
        <f t="shared" si="15"/>
        <v>0</v>
      </c>
      <c r="S76">
        <v>0</v>
      </c>
      <c r="T76">
        <f t="shared" si="16"/>
        <v>0.32331420825377716</v>
      </c>
      <c r="U76">
        <v>0.19265945055142691</v>
      </c>
      <c r="V76">
        <f t="shared" si="17"/>
        <v>-0.13065475770235024</v>
      </c>
    </row>
    <row r="77" spans="1:22" x14ac:dyDescent="0.2">
      <c r="A77">
        <f t="shared" si="18"/>
        <v>76</v>
      </c>
      <c r="B77" s="2">
        <f t="shared" si="19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6">
        <v>4.8</v>
      </c>
      <c r="H77" s="5">
        <v>10</v>
      </c>
      <c r="I77" s="7" t="s">
        <v>20</v>
      </c>
      <c r="J77" s="8" t="s">
        <v>18</v>
      </c>
      <c r="K77">
        <v>283</v>
      </c>
      <c r="L77">
        <v>150.88889346446217</v>
      </c>
      <c r="M77">
        <v>151.21990004933153</v>
      </c>
      <c r="N77">
        <f t="shared" si="11"/>
        <v>0</v>
      </c>
      <c r="O77">
        <f t="shared" si="12"/>
        <v>1</v>
      </c>
      <c r="P77">
        <f t="shared" si="13"/>
        <v>0</v>
      </c>
      <c r="Q77">
        <f t="shared" si="14"/>
        <v>1</v>
      </c>
      <c r="R77">
        <f t="shared" si="15"/>
        <v>0</v>
      </c>
      <c r="S77">
        <v>1</v>
      </c>
      <c r="T77">
        <f t="shared" si="16"/>
        <v>-0.93779265610710882</v>
      </c>
      <c r="U77">
        <v>-1.6968546792237811</v>
      </c>
      <c r="V77">
        <f t="shared" si="17"/>
        <v>-0.75906202311667226</v>
      </c>
    </row>
    <row r="78" spans="1:22" x14ac:dyDescent="0.2">
      <c r="A78">
        <f t="shared" si="18"/>
        <v>77</v>
      </c>
      <c r="B78" s="2">
        <f t="shared" si="19"/>
        <v>39</v>
      </c>
      <c r="C78" s="3">
        <v>43343</v>
      </c>
      <c r="D78" s="4">
        <v>0.1092013888888889</v>
      </c>
      <c r="E78" s="29">
        <v>-8.3699999999999992</v>
      </c>
      <c r="F78" s="29">
        <v>116.06</v>
      </c>
      <c r="G78" s="6">
        <v>4.8</v>
      </c>
      <c r="H78" s="5">
        <v>10</v>
      </c>
      <c r="I78" s="7" t="s">
        <v>20</v>
      </c>
      <c r="J78" s="8" t="s">
        <v>16</v>
      </c>
      <c r="K78">
        <v>1141</v>
      </c>
      <c r="L78">
        <v>100.06290501663518</v>
      </c>
      <c r="M78">
        <v>100.56134923701131</v>
      </c>
      <c r="N78">
        <f t="shared" si="11"/>
        <v>0</v>
      </c>
      <c r="O78">
        <f t="shared" si="12"/>
        <v>1</v>
      </c>
      <c r="P78">
        <f t="shared" si="13"/>
        <v>0</v>
      </c>
      <c r="Q78">
        <f t="shared" si="14"/>
        <v>1</v>
      </c>
      <c r="R78">
        <f t="shared" si="15"/>
        <v>0</v>
      </c>
      <c r="S78">
        <v>1</v>
      </c>
      <c r="T78">
        <f t="shared" si="16"/>
        <v>-1.1515782944153952</v>
      </c>
      <c r="U78">
        <v>-1.7297257234699022</v>
      </c>
      <c r="V78">
        <f t="shared" si="17"/>
        <v>-0.578147429054507</v>
      </c>
    </row>
    <row r="79" spans="1:22" x14ac:dyDescent="0.2">
      <c r="A79">
        <f t="shared" si="18"/>
        <v>78</v>
      </c>
      <c r="B79" s="2">
        <f t="shared" si="19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6">
        <v>4</v>
      </c>
      <c r="H79" s="5">
        <v>10</v>
      </c>
      <c r="I79" s="7" t="s">
        <v>20</v>
      </c>
      <c r="J79" s="8" t="s">
        <v>13</v>
      </c>
      <c r="K79">
        <v>290</v>
      </c>
      <c r="L79">
        <v>167.64476863286811</v>
      </c>
      <c r="M79">
        <v>167.94275349049116</v>
      </c>
      <c r="N79">
        <f t="shared" si="11"/>
        <v>0</v>
      </c>
      <c r="O79">
        <f t="shared" si="12"/>
        <v>1</v>
      </c>
      <c r="P79">
        <f t="shared" si="13"/>
        <v>0</v>
      </c>
      <c r="Q79">
        <f t="shared" si="14"/>
        <v>1</v>
      </c>
      <c r="R79">
        <f t="shared" si="15"/>
        <v>0</v>
      </c>
      <c r="S79">
        <v>0</v>
      </c>
      <c r="T79">
        <f t="shared" si="16"/>
        <v>-2.097266006567438</v>
      </c>
      <c r="U79">
        <v>-1.9481923588198062</v>
      </c>
      <c r="V79">
        <f t="shared" si="17"/>
        <v>0.14907364774763177</v>
      </c>
    </row>
    <row r="80" spans="1:22" x14ac:dyDescent="0.2">
      <c r="A80">
        <f t="shared" si="18"/>
        <v>79</v>
      </c>
      <c r="B80" s="2">
        <f t="shared" si="19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6">
        <v>4</v>
      </c>
      <c r="H80" s="5">
        <v>10</v>
      </c>
      <c r="I80" s="7" t="s">
        <v>20</v>
      </c>
      <c r="J80" s="8" t="s">
        <v>16</v>
      </c>
      <c r="K80">
        <v>1141</v>
      </c>
      <c r="L80">
        <v>63.28816253904116</v>
      </c>
      <c r="M80">
        <v>64.073329221822803</v>
      </c>
      <c r="N80">
        <f t="shared" si="11"/>
        <v>0</v>
      </c>
      <c r="O80">
        <f t="shared" si="12"/>
        <v>1</v>
      </c>
      <c r="P80">
        <f t="shared" si="13"/>
        <v>0</v>
      </c>
      <c r="Q80">
        <f t="shared" si="14"/>
        <v>1</v>
      </c>
      <c r="R80">
        <f t="shared" si="15"/>
        <v>0</v>
      </c>
      <c r="S80">
        <v>0</v>
      </c>
      <c r="T80">
        <f t="shared" si="16"/>
        <v>-1.930673629487927</v>
      </c>
      <c r="U80">
        <v>-2.1053893374307879</v>
      </c>
      <c r="V80">
        <f t="shared" si="17"/>
        <v>-0.17471570794286095</v>
      </c>
    </row>
    <row r="81" spans="1:22" x14ac:dyDescent="0.2">
      <c r="A81">
        <f t="shared" si="18"/>
        <v>80</v>
      </c>
      <c r="B81" s="2">
        <f t="shared" si="19"/>
        <v>41</v>
      </c>
      <c r="C81" s="34">
        <v>43346</v>
      </c>
      <c r="D81" s="35">
        <v>0.8206134259259259</v>
      </c>
      <c r="E81" s="36">
        <v>-8.2799999999999994</v>
      </c>
      <c r="F81" s="36">
        <v>116.12</v>
      </c>
      <c r="G81" s="6">
        <v>3.8</v>
      </c>
      <c r="H81" s="36">
        <v>12</v>
      </c>
      <c r="I81" s="2" t="s">
        <v>20</v>
      </c>
      <c r="J81" s="8" t="s">
        <v>15</v>
      </c>
      <c r="K81">
        <v>770</v>
      </c>
      <c r="L81">
        <v>56.817893431278847</v>
      </c>
      <c r="M81">
        <v>58.071275291387906</v>
      </c>
      <c r="N81">
        <f t="shared" si="11"/>
        <v>0</v>
      </c>
      <c r="O81">
        <f t="shared" si="12"/>
        <v>1</v>
      </c>
      <c r="P81">
        <f t="shared" si="13"/>
        <v>0</v>
      </c>
      <c r="Q81">
        <f t="shared" si="14"/>
        <v>1</v>
      </c>
      <c r="R81">
        <f t="shared" si="15"/>
        <v>0</v>
      </c>
      <c r="S81">
        <v>1</v>
      </c>
      <c r="T81">
        <f t="shared" si="16"/>
        <v>-2.0210867869998723</v>
      </c>
      <c r="U81">
        <v>-2.7699186970628999</v>
      </c>
      <c r="V81">
        <f t="shared" si="17"/>
        <v>-0.74883191006302763</v>
      </c>
    </row>
    <row r="82" spans="1:22" x14ac:dyDescent="0.2">
      <c r="A82">
        <f t="shared" si="18"/>
        <v>81</v>
      </c>
      <c r="B82" s="2">
        <f t="shared" si="19"/>
        <v>42</v>
      </c>
      <c r="C82" s="34">
        <v>43347</v>
      </c>
      <c r="D82" s="35">
        <v>0.43399305555794854</v>
      </c>
      <c r="E82" s="5">
        <v>-8.49</v>
      </c>
      <c r="F82" s="5">
        <v>116.93</v>
      </c>
      <c r="G82" s="6">
        <v>3.8</v>
      </c>
      <c r="H82" s="5">
        <v>10</v>
      </c>
      <c r="I82" s="2" t="s">
        <v>20</v>
      </c>
      <c r="J82" s="8" t="s">
        <v>15</v>
      </c>
      <c r="K82">
        <v>770</v>
      </c>
      <c r="L82">
        <v>78.572321998070137</v>
      </c>
      <c r="M82">
        <v>79.206122138180817</v>
      </c>
      <c r="N82">
        <f t="shared" si="11"/>
        <v>0</v>
      </c>
      <c r="O82">
        <f t="shared" si="12"/>
        <v>1</v>
      </c>
      <c r="P82">
        <f t="shared" si="13"/>
        <v>0</v>
      </c>
      <c r="Q82">
        <f t="shared" si="14"/>
        <v>1</v>
      </c>
      <c r="R82">
        <f t="shared" si="15"/>
        <v>0</v>
      </c>
      <c r="S82">
        <v>0</v>
      </c>
      <c r="T82">
        <f t="shared" si="16"/>
        <v>-2.2209935244666696</v>
      </c>
      <c r="U82">
        <v>-2.70744932875875</v>
      </c>
      <c r="V82">
        <f t="shared" si="17"/>
        <v>-0.48645580429208035</v>
      </c>
    </row>
    <row r="83" spans="1:22" x14ac:dyDescent="0.2">
      <c r="A83">
        <f t="shared" si="18"/>
        <v>82</v>
      </c>
      <c r="B83" s="2">
        <f t="shared" si="19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6">
        <v>5</v>
      </c>
      <c r="H83" s="5">
        <v>10</v>
      </c>
      <c r="I83" s="7" t="s">
        <v>20</v>
      </c>
      <c r="J83" s="8" t="s">
        <v>13</v>
      </c>
      <c r="K83">
        <v>290</v>
      </c>
      <c r="L83">
        <v>148.74898529807919</v>
      </c>
      <c r="M83">
        <v>149.08474310675851</v>
      </c>
      <c r="N83">
        <f t="shared" si="11"/>
        <v>0</v>
      </c>
      <c r="O83">
        <f t="shared" si="12"/>
        <v>1</v>
      </c>
      <c r="P83">
        <f t="shared" si="13"/>
        <v>0</v>
      </c>
      <c r="Q83">
        <f t="shared" si="14"/>
        <v>1</v>
      </c>
      <c r="R83">
        <f t="shared" si="15"/>
        <v>0</v>
      </c>
      <c r="S83">
        <v>0</v>
      </c>
      <c r="T83">
        <f t="shared" si="16"/>
        <v>-0.68706799844150301</v>
      </c>
      <c r="U83">
        <v>-0.91546757786400823</v>
      </c>
      <c r="V83">
        <f t="shared" si="17"/>
        <v>-0.22839957942250522</v>
      </c>
    </row>
    <row r="84" spans="1:22" x14ac:dyDescent="0.2">
      <c r="A84">
        <f t="shared" si="18"/>
        <v>83</v>
      </c>
      <c r="B84" s="2">
        <f t="shared" si="19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6">
        <v>4.9000000000000004</v>
      </c>
      <c r="H84" s="5">
        <v>10</v>
      </c>
      <c r="I84" s="7" t="s">
        <v>20</v>
      </c>
      <c r="J84" s="8" t="s">
        <v>14</v>
      </c>
      <c r="K84">
        <v>210</v>
      </c>
      <c r="L84">
        <v>70.821365178451273</v>
      </c>
      <c r="M84">
        <v>71.523882485080122</v>
      </c>
      <c r="N84">
        <f t="shared" si="11"/>
        <v>0</v>
      </c>
      <c r="O84">
        <f t="shared" si="12"/>
        <v>1</v>
      </c>
      <c r="P84">
        <f t="shared" si="13"/>
        <v>0</v>
      </c>
      <c r="Q84">
        <f t="shared" si="14"/>
        <v>1</v>
      </c>
      <c r="R84">
        <f t="shared" si="15"/>
        <v>0</v>
      </c>
      <c r="S84">
        <v>1</v>
      </c>
      <c r="T84">
        <f t="shared" si="16"/>
        <v>-0.28526310042932762</v>
      </c>
      <c r="U84">
        <v>-1.3190987367645446</v>
      </c>
      <c r="V84">
        <f t="shared" si="17"/>
        <v>-1.033835636335217</v>
      </c>
    </row>
    <row r="85" spans="1:22" x14ac:dyDescent="0.2">
      <c r="A85">
        <f t="shared" si="18"/>
        <v>84</v>
      </c>
      <c r="B85" s="2">
        <f t="shared" si="19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6">
        <v>4.9000000000000004</v>
      </c>
      <c r="H85" s="5">
        <v>10</v>
      </c>
      <c r="I85" s="7" t="s">
        <v>20</v>
      </c>
      <c r="J85" s="8" t="s">
        <v>18</v>
      </c>
      <c r="K85">
        <v>283</v>
      </c>
      <c r="L85">
        <v>87.409156199622487</v>
      </c>
      <c r="M85">
        <v>87.979319089942962</v>
      </c>
      <c r="N85">
        <f t="shared" si="11"/>
        <v>0</v>
      </c>
      <c r="O85">
        <f t="shared" si="12"/>
        <v>1</v>
      </c>
      <c r="P85">
        <f t="shared" si="13"/>
        <v>0</v>
      </c>
      <c r="Q85">
        <f t="shared" si="14"/>
        <v>1</v>
      </c>
      <c r="R85">
        <f t="shared" si="15"/>
        <v>0</v>
      </c>
      <c r="S85">
        <v>0</v>
      </c>
      <c r="T85">
        <f t="shared" si="16"/>
        <v>-0.50044339459964826</v>
      </c>
      <c r="U85">
        <v>-1.3553740703388504</v>
      </c>
      <c r="V85">
        <f t="shared" si="17"/>
        <v>-0.85493067573920212</v>
      </c>
    </row>
    <row r="86" spans="1:22" x14ac:dyDescent="0.2">
      <c r="A86">
        <f t="shared" si="18"/>
        <v>85</v>
      </c>
      <c r="B86" s="2">
        <f t="shared" si="19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6">
        <v>4.7</v>
      </c>
      <c r="H86" s="5">
        <v>5</v>
      </c>
      <c r="I86" s="7" t="s">
        <v>20</v>
      </c>
      <c r="J86" s="8" t="s">
        <v>13</v>
      </c>
      <c r="K86">
        <v>290</v>
      </c>
      <c r="L86">
        <v>196.8111840223722</v>
      </c>
      <c r="M86">
        <v>196.87468642841836</v>
      </c>
      <c r="N86">
        <f t="shared" si="11"/>
        <v>0</v>
      </c>
      <c r="O86">
        <f t="shared" si="12"/>
        <v>1</v>
      </c>
      <c r="P86">
        <f t="shared" si="13"/>
        <v>0</v>
      </c>
      <c r="Q86">
        <f t="shared" si="14"/>
        <v>1</v>
      </c>
      <c r="R86">
        <f t="shared" si="15"/>
        <v>0</v>
      </c>
      <c r="S86">
        <v>1</v>
      </c>
      <c r="T86">
        <f t="shared" si="16"/>
        <v>-1.229158720263827</v>
      </c>
      <c r="U86">
        <v>-1.7042163076341343</v>
      </c>
      <c r="V86">
        <f t="shared" si="17"/>
        <v>-0.47505758737030734</v>
      </c>
    </row>
    <row r="87" spans="1:22" x14ac:dyDescent="0.2">
      <c r="A87">
        <f t="shared" si="18"/>
        <v>86</v>
      </c>
      <c r="B87" s="2">
        <f t="shared" si="19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6">
        <v>4.7</v>
      </c>
      <c r="H87" s="5">
        <v>5</v>
      </c>
      <c r="I87" s="7" t="s">
        <v>20</v>
      </c>
      <c r="J87" s="8" t="s">
        <v>14</v>
      </c>
      <c r="K87">
        <v>210</v>
      </c>
      <c r="L87">
        <v>71.928133474305866</v>
      </c>
      <c r="M87">
        <v>72.101708614273207</v>
      </c>
      <c r="N87">
        <f t="shared" si="11"/>
        <v>0</v>
      </c>
      <c r="O87">
        <f t="shared" si="12"/>
        <v>1</v>
      </c>
      <c r="P87">
        <f t="shared" si="13"/>
        <v>0</v>
      </c>
      <c r="Q87">
        <f t="shared" si="14"/>
        <v>1</v>
      </c>
      <c r="R87">
        <f t="shared" si="15"/>
        <v>0</v>
      </c>
      <c r="S87">
        <v>1</v>
      </c>
      <c r="T87">
        <f t="shared" si="16"/>
        <v>-0.53492675887580821</v>
      </c>
      <c r="U87">
        <v>-1.6857681897481853</v>
      </c>
      <c r="V87">
        <f t="shared" si="17"/>
        <v>-1.1508414308723771</v>
      </c>
    </row>
    <row r="88" spans="1:22" x14ac:dyDescent="0.2">
      <c r="A88">
        <f t="shared" si="18"/>
        <v>87</v>
      </c>
      <c r="B88" s="2">
        <f t="shared" si="19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6">
        <v>4.7</v>
      </c>
      <c r="H88" s="5">
        <v>5</v>
      </c>
      <c r="I88" s="7" t="s">
        <v>20</v>
      </c>
      <c r="J88" s="8" t="s">
        <v>18</v>
      </c>
      <c r="K88">
        <v>283</v>
      </c>
      <c r="L88">
        <v>100.73119085035158</v>
      </c>
      <c r="M88">
        <v>100.85520715426622</v>
      </c>
      <c r="N88">
        <f t="shared" si="11"/>
        <v>0</v>
      </c>
      <c r="O88">
        <f t="shared" si="12"/>
        <v>1</v>
      </c>
      <c r="P88">
        <f t="shared" si="13"/>
        <v>0</v>
      </c>
      <c r="Q88">
        <f t="shared" si="14"/>
        <v>1</v>
      </c>
      <c r="R88">
        <f t="shared" si="15"/>
        <v>0</v>
      </c>
      <c r="S88">
        <v>1</v>
      </c>
      <c r="T88">
        <f t="shared" si="16"/>
        <v>-0.82824357696962836</v>
      </c>
      <c r="U88">
        <v>-1.6989326591093599</v>
      </c>
      <c r="V88">
        <f t="shared" si="17"/>
        <v>-0.87068908213973151</v>
      </c>
    </row>
    <row r="89" spans="1:22" x14ac:dyDescent="0.2">
      <c r="A89">
        <f t="shared" si="18"/>
        <v>88</v>
      </c>
      <c r="B89" s="2">
        <f t="shared" si="19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6">
        <v>4.9000000000000004</v>
      </c>
      <c r="H89" s="5">
        <v>10</v>
      </c>
      <c r="I89" s="7" t="s">
        <v>20</v>
      </c>
      <c r="J89" s="8" t="s">
        <v>13</v>
      </c>
      <c r="K89">
        <v>290</v>
      </c>
      <c r="L89">
        <v>193.95907906707598</v>
      </c>
      <c r="M89">
        <v>194.21669431989679</v>
      </c>
      <c r="N89">
        <f t="shared" si="11"/>
        <v>0</v>
      </c>
      <c r="O89">
        <f t="shared" si="12"/>
        <v>1</v>
      </c>
      <c r="P89">
        <f t="shared" si="13"/>
        <v>0</v>
      </c>
      <c r="Q89">
        <f t="shared" si="14"/>
        <v>1</v>
      </c>
      <c r="R89">
        <f t="shared" si="15"/>
        <v>0</v>
      </c>
      <c r="S89">
        <v>0</v>
      </c>
      <c r="T89">
        <f t="shared" si="16"/>
        <v>-0.96321264284561259</v>
      </c>
      <c r="U89">
        <v>-1.4175575304503449</v>
      </c>
      <c r="V89">
        <f t="shared" si="17"/>
        <v>-0.45434488760473235</v>
      </c>
    </row>
    <row r="90" spans="1:22" x14ac:dyDescent="0.2">
      <c r="A90">
        <f t="shared" si="18"/>
        <v>89</v>
      </c>
      <c r="B90" s="2">
        <f t="shared" si="19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6">
        <v>4.9000000000000004</v>
      </c>
      <c r="H90" s="5">
        <v>10</v>
      </c>
      <c r="I90" s="7" t="s">
        <v>20</v>
      </c>
      <c r="J90" s="8" t="s">
        <v>14</v>
      </c>
      <c r="K90">
        <v>210</v>
      </c>
      <c r="L90">
        <v>71.45004970385618</v>
      </c>
      <c r="M90">
        <v>72.146445530486943</v>
      </c>
      <c r="N90">
        <f t="shared" si="11"/>
        <v>0</v>
      </c>
      <c r="O90">
        <f t="shared" si="12"/>
        <v>1</v>
      </c>
      <c r="P90">
        <f t="shared" si="13"/>
        <v>0</v>
      </c>
      <c r="Q90">
        <f t="shared" si="14"/>
        <v>1</v>
      </c>
      <c r="R90">
        <f t="shared" si="15"/>
        <v>0</v>
      </c>
      <c r="S90">
        <v>1</v>
      </c>
      <c r="T90">
        <f t="shared" si="16"/>
        <v>-0.29022869520316658</v>
      </c>
      <c r="U90">
        <v>-1.4230552226010766</v>
      </c>
      <c r="V90">
        <f t="shared" si="17"/>
        <v>-1.1328265273979101</v>
      </c>
    </row>
    <row r="91" spans="1:22" x14ac:dyDescent="0.2">
      <c r="A91">
        <f t="shared" si="18"/>
        <v>90</v>
      </c>
      <c r="B91" s="2">
        <f t="shared" si="19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6">
        <v>4.9000000000000004</v>
      </c>
      <c r="H91" s="5">
        <v>10</v>
      </c>
      <c r="I91" s="7" t="s">
        <v>20</v>
      </c>
      <c r="J91" s="8" t="s">
        <v>18</v>
      </c>
      <c r="K91">
        <v>283</v>
      </c>
      <c r="L91">
        <v>97.398208788098572</v>
      </c>
      <c r="M91">
        <v>97.910219462168712</v>
      </c>
      <c r="N91">
        <f t="shared" si="11"/>
        <v>0</v>
      </c>
      <c r="O91">
        <f t="shared" si="12"/>
        <v>1</v>
      </c>
      <c r="P91">
        <f t="shared" si="13"/>
        <v>0</v>
      </c>
      <c r="Q91">
        <f t="shared" si="14"/>
        <v>1</v>
      </c>
      <c r="R91">
        <f t="shared" si="15"/>
        <v>0</v>
      </c>
      <c r="S91">
        <v>0</v>
      </c>
      <c r="T91">
        <f t="shared" si="16"/>
        <v>-0.56181472188066417</v>
      </c>
      <c r="U91">
        <v>-1.417700437491338</v>
      </c>
      <c r="V91">
        <f t="shared" si="17"/>
        <v>-0.85588571561067384</v>
      </c>
    </row>
    <row r="92" spans="1:22" x14ac:dyDescent="0.2">
      <c r="A92">
        <f t="shared" si="18"/>
        <v>91</v>
      </c>
      <c r="B92" s="2">
        <f t="shared" si="19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6">
        <v>4.5</v>
      </c>
      <c r="H92" s="5">
        <v>10</v>
      </c>
      <c r="I92" s="7" t="s">
        <v>20</v>
      </c>
      <c r="J92" s="8" t="s">
        <v>13</v>
      </c>
      <c r="K92">
        <v>290</v>
      </c>
      <c r="L92">
        <v>210.08629900607102</v>
      </c>
      <c r="M92">
        <v>210.32416178382425</v>
      </c>
      <c r="N92">
        <f t="shared" si="11"/>
        <v>0</v>
      </c>
      <c r="O92">
        <f t="shared" si="12"/>
        <v>1</v>
      </c>
      <c r="P92">
        <f t="shared" si="13"/>
        <v>0</v>
      </c>
      <c r="Q92">
        <f t="shared" si="14"/>
        <v>1</v>
      </c>
      <c r="R92">
        <f t="shared" si="15"/>
        <v>0</v>
      </c>
      <c r="S92">
        <v>1</v>
      </c>
      <c r="T92">
        <f t="shared" si="16"/>
        <v>-1.5352994484167863</v>
      </c>
      <c r="U92">
        <v>-1.628645402077916</v>
      </c>
      <c r="V92">
        <f t="shared" si="17"/>
        <v>-9.3345953661129633E-2</v>
      </c>
    </row>
    <row r="93" spans="1:22" x14ac:dyDescent="0.2">
      <c r="A93">
        <f t="shared" si="18"/>
        <v>92</v>
      </c>
      <c r="B93" s="2">
        <f t="shared" si="19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6">
        <v>4.5</v>
      </c>
      <c r="H93" s="5">
        <v>10</v>
      </c>
      <c r="I93" s="7" t="s">
        <v>20</v>
      </c>
      <c r="J93" s="8" t="s">
        <v>18</v>
      </c>
      <c r="K93">
        <v>283</v>
      </c>
      <c r="L93">
        <v>113.49793514390502</v>
      </c>
      <c r="M93">
        <v>113.9376201345722</v>
      </c>
      <c r="N93">
        <f t="shared" si="11"/>
        <v>0</v>
      </c>
      <c r="O93">
        <f t="shared" si="12"/>
        <v>1</v>
      </c>
      <c r="P93">
        <f t="shared" si="13"/>
        <v>0</v>
      </c>
      <c r="Q93">
        <f t="shared" si="14"/>
        <v>1</v>
      </c>
      <c r="R93">
        <f t="shared" si="15"/>
        <v>0</v>
      </c>
      <c r="S93">
        <v>1</v>
      </c>
      <c r="T93">
        <f t="shared" si="16"/>
        <v>-1.1591618722000083</v>
      </c>
      <c r="U93">
        <v>-1.7427398659016038</v>
      </c>
      <c r="V93">
        <f t="shared" si="17"/>
        <v>-0.58357799370159547</v>
      </c>
    </row>
    <row r="94" spans="1:22" x14ac:dyDescent="0.2">
      <c r="A94">
        <f t="shared" si="18"/>
        <v>93</v>
      </c>
      <c r="B94" s="2">
        <f t="shared" si="19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6">
        <v>3.8</v>
      </c>
      <c r="H94" s="5">
        <v>10</v>
      </c>
      <c r="I94" s="7" t="s">
        <v>20</v>
      </c>
      <c r="J94" s="8" t="s">
        <v>14</v>
      </c>
      <c r="K94">
        <v>210</v>
      </c>
      <c r="L94">
        <v>28.931001680991574</v>
      </c>
      <c r="M94">
        <v>30.610502417724824</v>
      </c>
      <c r="N94">
        <f t="shared" si="11"/>
        <v>0</v>
      </c>
      <c r="O94">
        <f t="shared" si="12"/>
        <v>1</v>
      </c>
      <c r="P94">
        <f t="shared" si="13"/>
        <v>0</v>
      </c>
      <c r="Q94">
        <f t="shared" si="14"/>
        <v>1</v>
      </c>
      <c r="R94">
        <f t="shared" si="15"/>
        <v>0</v>
      </c>
      <c r="S94">
        <v>1</v>
      </c>
      <c r="T94">
        <f t="shared" si="16"/>
        <v>-1.1916649906365626</v>
      </c>
      <c r="U94">
        <v>-1.3792804223749768</v>
      </c>
      <c r="V94">
        <f t="shared" si="17"/>
        <v>-0.18761543173841422</v>
      </c>
    </row>
    <row r="95" spans="1:22" x14ac:dyDescent="0.2">
      <c r="A95">
        <f t="shared" si="18"/>
        <v>94</v>
      </c>
      <c r="B95" s="2">
        <f t="shared" si="19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6">
        <v>4.2</v>
      </c>
      <c r="H95" s="5">
        <v>12</v>
      </c>
      <c r="I95" s="7" t="s">
        <v>20</v>
      </c>
      <c r="J95" s="8" t="s">
        <v>13</v>
      </c>
      <c r="K95">
        <v>290</v>
      </c>
      <c r="L95">
        <v>219.07442776542351</v>
      </c>
      <c r="M95">
        <v>219.40283703896759</v>
      </c>
      <c r="N95">
        <f t="shared" si="11"/>
        <v>0</v>
      </c>
      <c r="O95">
        <f t="shared" si="12"/>
        <v>1</v>
      </c>
      <c r="P95">
        <f t="shared" si="13"/>
        <v>0</v>
      </c>
      <c r="Q95">
        <f t="shared" si="14"/>
        <v>1</v>
      </c>
      <c r="R95">
        <f t="shared" si="15"/>
        <v>0</v>
      </c>
      <c r="S95">
        <v>1</v>
      </c>
      <c r="T95">
        <f t="shared" si="16"/>
        <v>-1.978012287501471</v>
      </c>
      <c r="U95">
        <v>-1.9582940518639498</v>
      </c>
      <c r="V95">
        <f t="shared" si="17"/>
        <v>1.9718235637521175E-2</v>
      </c>
    </row>
    <row r="96" spans="1:22" x14ac:dyDescent="0.2">
      <c r="A96">
        <f t="shared" si="18"/>
        <v>95</v>
      </c>
      <c r="B96" s="2">
        <f t="shared" si="19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6">
        <v>4.2</v>
      </c>
      <c r="H96" s="5">
        <v>12</v>
      </c>
      <c r="I96" s="7" t="s">
        <v>20</v>
      </c>
      <c r="J96" s="8" t="s">
        <v>14</v>
      </c>
      <c r="K96">
        <v>210</v>
      </c>
      <c r="L96">
        <v>54.022115727964547</v>
      </c>
      <c r="M96">
        <v>55.33885603918457</v>
      </c>
      <c r="N96">
        <f t="shared" si="11"/>
        <v>0</v>
      </c>
      <c r="O96">
        <f t="shared" si="12"/>
        <v>1</v>
      </c>
      <c r="P96">
        <f t="shared" si="13"/>
        <v>0</v>
      </c>
      <c r="Q96">
        <f t="shared" si="14"/>
        <v>1</v>
      </c>
      <c r="R96">
        <f t="shared" si="15"/>
        <v>0</v>
      </c>
      <c r="S96">
        <v>1</v>
      </c>
      <c r="T96">
        <f t="shared" si="16"/>
        <v>-1.0204109751518209</v>
      </c>
      <c r="U96">
        <v>-1.8362831875801759</v>
      </c>
      <c r="V96">
        <f t="shared" si="17"/>
        <v>-0.81587221242835506</v>
      </c>
    </row>
    <row r="97" spans="1:22" x14ac:dyDescent="0.2">
      <c r="A97">
        <f t="shared" si="18"/>
        <v>96</v>
      </c>
      <c r="B97" s="2">
        <f t="shared" si="19"/>
        <v>49</v>
      </c>
      <c r="C97" s="34">
        <v>43357</v>
      </c>
      <c r="D97" s="35">
        <v>0.16467592593107838</v>
      </c>
      <c r="E97" s="36">
        <v>-8.16</v>
      </c>
      <c r="F97" s="36">
        <v>116.37</v>
      </c>
      <c r="G97" s="6">
        <v>4.2</v>
      </c>
      <c r="H97" s="36">
        <v>12</v>
      </c>
      <c r="I97" s="2" t="s">
        <v>20</v>
      </c>
      <c r="J97" s="8" t="s">
        <v>15</v>
      </c>
      <c r="K97">
        <v>770</v>
      </c>
      <c r="L97">
        <v>68.094097247178624</v>
      </c>
      <c r="M97">
        <v>69.143373362226257</v>
      </c>
      <c r="N97">
        <f t="shared" si="11"/>
        <v>0</v>
      </c>
      <c r="O97">
        <f t="shared" si="12"/>
        <v>1</v>
      </c>
      <c r="P97">
        <f t="shared" si="13"/>
        <v>0</v>
      </c>
      <c r="Q97">
        <f t="shared" si="14"/>
        <v>1</v>
      </c>
      <c r="R97">
        <f t="shared" si="15"/>
        <v>0</v>
      </c>
      <c r="S97">
        <v>1</v>
      </c>
      <c r="T97">
        <f t="shared" si="16"/>
        <v>-1.5780316072765304</v>
      </c>
      <c r="U97">
        <v>-2.3579643265907406</v>
      </c>
      <c r="V97">
        <f t="shared" si="17"/>
        <v>-0.77993271931421027</v>
      </c>
    </row>
    <row r="98" spans="1:22" x14ac:dyDescent="0.2">
      <c r="A98">
        <f t="shared" si="18"/>
        <v>97</v>
      </c>
      <c r="B98" s="2">
        <f t="shared" si="19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6">
        <v>4.2</v>
      </c>
      <c r="H98" s="5">
        <v>10</v>
      </c>
      <c r="I98" s="7" t="s">
        <v>20</v>
      </c>
      <c r="J98" s="8" t="s">
        <v>18</v>
      </c>
      <c r="K98">
        <v>283</v>
      </c>
      <c r="L98">
        <v>149.41083072966944</v>
      </c>
      <c r="M98">
        <v>149.74510455881332</v>
      </c>
      <c r="N98">
        <f t="shared" ref="N98:N129" si="20">IF(I98="normal",1,0)</f>
        <v>0</v>
      </c>
      <c r="O98">
        <f t="shared" ref="O98:O129" si="21">IF(I98="reverse",1,0)</f>
        <v>1</v>
      </c>
      <c r="P98">
        <f t="shared" si="13"/>
        <v>0</v>
      </c>
      <c r="Q98">
        <f t="shared" si="14"/>
        <v>1</v>
      </c>
      <c r="R98">
        <f t="shared" si="15"/>
        <v>0</v>
      </c>
      <c r="S98">
        <v>1</v>
      </c>
      <c r="T98">
        <f t="shared" si="16"/>
        <v>-1.7331264665090862</v>
      </c>
      <c r="U98">
        <v>-2.4688887013989187</v>
      </c>
      <c r="V98">
        <f t="shared" si="17"/>
        <v>-0.7357622348898325</v>
      </c>
    </row>
    <row r="99" spans="1:22" x14ac:dyDescent="0.2">
      <c r="A99">
        <f t="shared" si="18"/>
        <v>98</v>
      </c>
      <c r="B99" s="2">
        <f t="shared" si="19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6">
        <v>3.5</v>
      </c>
      <c r="H99" s="5">
        <v>16</v>
      </c>
      <c r="I99" s="7" t="s">
        <v>20</v>
      </c>
      <c r="J99" s="8" t="s">
        <v>14</v>
      </c>
      <c r="K99">
        <v>210</v>
      </c>
      <c r="L99">
        <v>27.234821366102938</v>
      </c>
      <c r="M99">
        <v>31.586951338227262</v>
      </c>
      <c r="N99">
        <f t="shared" si="20"/>
        <v>0</v>
      </c>
      <c r="O99">
        <f t="shared" si="21"/>
        <v>1</v>
      </c>
      <c r="P99">
        <f t="shared" si="13"/>
        <v>0</v>
      </c>
      <c r="Q99">
        <f t="shared" si="14"/>
        <v>1</v>
      </c>
      <c r="R99">
        <f t="shared" si="15"/>
        <v>0</v>
      </c>
      <c r="S99">
        <v>1</v>
      </c>
      <c r="T99">
        <f t="shared" si="16"/>
        <v>-1.634712467849478</v>
      </c>
      <c r="U99">
        <v>-2.3473696770557715</v>
      </c>
      <c r="V99">
        <f t="shared" si="17"/>
        <v>-0.7126572092062935</v>
      </c>
    </row>
    <row r="100" spans="1:22" x14ac:dyDescent="0.2">
      <c r="A100">
        <f t="shared" si="18"/>
        <v>99</v>
      </c>
      <c r="B100" s="2">
        <f t="shared" si="19"/>
        <v>51</v>
      </c>
      <c r="C100" s="34">
        <v>43364</v>
      </c>
      <c r="D100" s="35">
        <v>0.28790509259852115</v>
      </c>
      <c r="E100" s="36">
        <v>-8.32</v>
      </c>
      <c r="F100" s="36">
        <v>116.12</v>
      </c>
      <c r="G100" s="6">
        <v>3.5</v>
      </c>
      <c r="H100" s="36">
        <v>16</v>
      </c>
      <c r="I100" s="2" t="s">
        <v>20</v>
      </c>
      <c r="J100" s="8" t="s">
        <v>15</v>
      </c>
      <c r="K100">
        <v>770</v>
      </c>
      <c r="L100">
        <v>52.611970116012088</v>
      </c>
      <c r="M100">
        <v>54.991084727327838</v>
      </c>
      <c r="N100">
        <f t="shared" si="20"/>
        <v>0</v>
      </c>
      <c r="O100">
        <f t="shared" si="21"/>
        <v>1</v>
      </c>
      <c r="P100">
        <f t="shared" si="13"/>
        <v>0</v>
      </c>
      <c r="Q100">
        <f t="shared" si="14"/>
        <v>1</v>
      </c>
      <c r="R100">
        <f t="shared" si="15"/>
        <v>0</v>
      </c>
      <c r="S100">
        <v>1</v>
      </c>
      <c r="T100">
        <f t="shared" si="16"/>
        <v>-2.4199095082887094</v>
      </c>
      <c r="U100">
        <v>-3.0084793244227312</v>
      </c>
      <c r="V100">
        <f t="shared" si="17"/>
        <v>-0.58856981613402182</v>
      </c>
    </row>
    <row r="101" spans="1:22" x14ac:dyDescent="0.2">
      <c r="A101">
        <f t="shared" si="18"/>
        <v>100</v>
      </c>
      <c r="B101" s="2">
        <f t="shared" si="19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6">
        <v>4</v>
      </c>
      <c r="H101" s="5">
        <v>13</v>
      </c>
      <c r="I101" s="7" t="s">
        <v>20</v>
      </c>
      <c r="J101" s="8" t="s">
        <v>18</v>
      </c>
      <c r="K101">
        <v>283</v>
      </c>
      <c r="L101">
        <v>76.556929365864917</v>
      </c>
      <c r="M101">
        <v>77.652839187823844</v>
      </c>
      <c r="N101">
        <f t="shared" si="20"/>
        <v>0</v>
      </c>
      <c r="O101">
        <f t="shared" si="21"/>
        <v>1</v>
      </c>
      <c r="P101">
        <f t="shared" si="13"/>
        <v>0</v>
      </c>
      <c r="Q101">
        <f t="shared" si="14"/>
        <v>1</v>
      </c>
      <c r="R101">
        <f t="shared" si="15"/>
        <v>0</v>
      </c>
      <c r="S101">
        <v>0</v>
      </c>
      <c r="T101">
        <f t="shared" si="16"/>
        <v>-1.6012500048876779</v>
      </c>
      <c r="U101">
        <v>-2.6194036992309093</v>
      </c>
      <c r="V101">
        <f t="shared" si="17"/>
        <v>-1.0181536943432314</v>
      </c>
    </row>
    <row r="102" spans="1:22" x14ac:dyDescent="0.2">
      <c r="A102">
        <f t="shared" si="18"/>
        <v>101</v>
      </c>
      <c r="B102" s="2">
        <f t="shared" si="19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6">
        <v>3.7</v>
      </c>
      <c r="H102" s="5">
        <v>11</v>
      </c>
      <c r="I102" s="7" t="s">
        <v>20</v>
      </c>
      <c r="J102" s="8" t="s">
        <v>12</v>
      </c>
      <c r="K102">
        <v>386</v>
      </c>
      <c r="L102">
        <v>202.99354263663312</v>
      </c>
      <c r="M102">
        <v>203.29136320112224</v>
      </c>
      <c r="N102">
        <f t="shared" si="20"/>
        <v>0</v>
      </c>
      <c r="O102">
        <f t="shared" si="21"/>
        <v>1</v>
      </c>
      <c r="P102">
        <f t="shared" si="13"/>
        <v>0</v>
      </c>
      <c r="Q102">
        <f t="shared" si="14"/>
        <v>1</v>
      </c>
      <c r="R102">
        <f t="shared" si="15"/>
        <v>0</v>
      </c>
      <c r="S102">
        <v>0</v>
      </c>
      <c r="T102">
        <f t="shared" si="16"/>
        <v>-2.7576601314141627</v>
      </c>
      <c r="U102">
        <v>-2.5569343309267594</v>
      </c>
      <c r="V102">
        <f t="shared" si="17"/>
        <v>0.20072580048740329</v>
      </c>
    </row>
    <row r="103" spans="1:22" x14ac:dyDescent="0.2">
      <c r="A103">
        <f t="shared" si="18"/>
        <v>102</v>
      </c>
      <c r="B103" s="2">
        <f t="shared" si="19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6">
        <v>4.9000000000000004</v>
      </c>
      <c r="H103" s="5">
        <v>10</v>
      </c>
      <c r="I103" s="7" t="s">
        <v>20</v>
      </c>
      <c r="J103" s="8" t="s">
        <v>14</v>
      </c>
      <c r="K103">
        <v>210</v>
      </c>
      <c r="L103">
        <v>74.843048563414939</v>
      </c>
      <c r="M103">
        <v>75.508157958366894</v>
      </c>
      <c r="N103">
        <f t="shared" si="20"/>
        <v>0</v>
      </c>
      <c r="O103">
        <f t="shared" si="21"/>
        <v>1</v>
      </c>
      <c r="P103">
        <f t="shared" si="13"/>
        <v>0</v>
      </c>
      <c r="Q103">
        <f t="shared" si="14"/>
        <v>1</v>
      </c>
      <c r="R103">
        <f t="shared" si="15"/>
        <v>0</v>
      </c>
      <c r="S103">
        <v>1</v>
      </c>
      <c r="T103">
        <f t="shared" si="16"/>
        <v>-0.31632795683973708</v>
      </c>
      <c r="U103">
        <v>-0.9086017357959939</v>
      </c>
      <c r="V103">
        <f t="shared" si="17"/>
        <v>-0.59227377895625688</v>
      </c>
    </row>
    <row r="104" spans="1:22" x14ac:dyDescent="0.2">
      <c r="A104">
        <f t="shared" si="18"/>
        <v>103</v>
      </c>
      <c r="B104" s="2">
        <f t="shared" si="19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6">
        <v>4.9000000000000004</v>
      </c>
      <c r="H104" s="5">
        <v>10</v>
      </c>
      <c r="I104" s="7" t="s">
        <v>20</v>
      </c>
      <c r="J104" s="8" t="s">
        <v>18</v>
      </c>
      <c r="K104">
        <v>283</v>
      </c>
      <c r="L104">
        <v>72.833909625461303</v>
      </c>
      <c r="M104">
        <v>73.517197928987102</v>
      </c>
      <c r="N104">
        <f t="shared" si="20"/>
        <v>0</v>
      </c>
      <c r="O104">
        <f t="shared" si="21"/>
        <v>1</v>
      </c>
      <c r="P104">
        <f t="shared" si="13"/>
        <v>0</v>
      </c>
      <c r="Q104">
        <f t="shared" si="14"/>
        <v>1</v>
      </c>
      <c r="R104">
        <f t="shared" si="15"/>
        <v>0</v>
      </c>
      <c r="S104">
        <v>0</v>
      </c>
      <c r="T104">
        <f t="shared" si="16"/>
        <v>-0.39747223236907164</v>
      </c>
      <c r="U104">
        <v>-0.85930390556315273</v>
      </c>
      <c r="V104">
        <f t="shared" si="17"/>
        <v>-0.46183167319408108</v>
      </c>
    </row>
    <row r="105" spans="1:22" x14ac:dyDescent="0.2">
      <c r="A105">
        <f t="shared" si="18"/>
        <v>104</v>
      </c>
      <c r="B105" s="2">
        <f t="shared" si="19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6">
        <v>4.5</v>
      </c>
      <c r="H105" s="5">
        <v>10</v>
      </c>
      <c r="I105" s="7" t="s">
        <v>20</v>
      </c>
      <c r="J105" s="8" t="s">
        <v>13</v>
      </c>
      <c r="K105">
        <v>290</v>
      </c>
      <c r="L105">
        <v>169.5752754141601</v>
      </c>
      <c r="M105">
        <v>169.86987382048724</v>
      </c>
      <c r="N105">
        <f t="shared" si="20"/>
        <v>0</v>
      </c>
      <c r="O105">
        <f t="shared" si="21"/>
        <v>1</v>
      </c>
      <c r="P105">
        <f t="shared" si="13"/>
        <v>0</v>
      </c>
      <c r="Q105">
        <f t="shared" si="14"/>
        <v>1</v>
      </c>
      <c r="R105">
        <f t="shared" si="15"/>
        <v>0</v>
      </c>
      <c r="S105">
        <v>0</v>
      </c>
      <c r="T105">
        <f t="shared" si="16"/>
        <v>-1.4069351499785181</v>
      </c>
      <c r="U105">
        <v>-1.4978846748877623</v>
      </c>
      <c r="V105">
        <f t="shared" si="17"/>
        <v>-9.0949524909244239E-2</v>
      </c>
    </row>
    <row r="106" spans="1:22" x14ac:dyDescent="0.2">
      <c r="A106">
        <f t="shared" si="18"/>
        <v>105</v>
      </c>
      <c r="B106" s="2">
        <f t="shared" si="19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6">
        <v>4.3</v>
      </c>
      <c r="H106" s="5">
        <v>10</v>
      </c>
      <c r="I106" s="7" t="s">
        <v>20</v>
      </c>
      <c r="J106" s="8" t="s">
        <v>13</v>
      </c>
      <c r="K106">
        <v>290</v>
      </c>
      <c r="L106">
        <v>191.39436649976986</v>
      </c>
      <c r="M106">
        <v>191.65542916350748</v>
      </c>
      <c r="N106">
        <f t="shared" si="20"/>
        <v>0</v>
      </c>
      <c r="O106">
        <f t="shared" si="21"/>
        <v>1</v>
      </c>
      <c r="P106">
        <f t="shared" si="13"/>
        <v>0</v>
      </c>
      <c r="Q106">
        <f t="shared" si="14"/>
        <v>1</v>
      </c>
      <c r="R106">
        <f t="shared" si="15"/>
        <v>0</v>
      </c>
      <c r="S106">
        <v>0</v>
      </c>
      <c r="T106">
        <f t="shared" si="16"/>
        <v>-1.7538146369365932</v>
      </c>
      <c r="U106">
        <v>-2.0569343309267594</v>
      </c>
      <c r="V106">
        <f t="shared" si="17"/>
        <v>-0.30311969399016614</v>
      </c>
    </row>
    <row r="107" spans="1:22" x14ac:dyDescent="0.2">
      <c r="A107">
        <f t="shared" si="18"/>
        <v>106</v>
      </c>
      <c r="B107" s="2">
        <f t="shared" si="19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6">
        <v>4.3</v>
      </c>
      <c r="H107" s="5">
        <v>10</v>
      </c>
      <c r="I107" s="7" t="s">
        <v>20</v>
      </c>
      <c r="J107" s="8" t="s">
        <v>14</v>
      </c>
      <c r="K107">
        <v>210</v>
      </c>
      <c r="L107">
        <v>62.335277789976317</v>
      </c>
      <c r="M107">
        <v>63.132296466654168</v>
      </c>
      <c r="N107">
        <f t="shared" si="20"/>
        <v>0</v>
      </c>
      <c r="O107">
        <f t="shared" si="21"/>
        <v>1</v>
      </c>
      <c r="P107">
        <f t="shared" si="13"/>
        <v>0</v>
      </c>
      <c r="Q107">
        <f t="shared" si="14"/>
        <v>1</v>
      </c>
      <c r="R107">
        <f t="shared" si="15"/>
        <v>0</v>
      </c>
      <c r="S107">
        <v>1</v>
      </c>
      <c r="T107">
        <f t="shared" si="16"/>
        <v>-0.96867204450552769</v>
      </c>
      <c r="U107">
        <v>-1.7185875261143262</v>
      </c>
      <c r="V107">
        <f t="shared" si="17"/>
        <v>-0.74991548160879851</v>
      </c>
    </row>
    <row r="108" spans="1:22" x14ac:dyDescent="0.2">
      <c r="A108">
        <f t="shared" si="18"/>
        <v>107</v>
      </c>
      <c r="B108" s="2">
        <f t="shared" si="19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6">
        <v>4.7</v>
      </c>
      <c r="H108" s="5">
        <v>10</v>
      </c>
      <c r="I108" s="7" t="s">
        <v>20</v>
      </c>
      <c r="J108" s="8" t="s">
        <v>13</v>
      </c>
      <c r="K108">
        <v>290</v>
      </c>
      <c r="L108">
        <v>153.54034510521262</v>
      </c>
      <c r="M108">
        <v>153.8656478068701</v>
      </c>
      <c r="N108">
        <f t="shared" si="20"/>
        <v>0</v>
      </c>
      <c r="O108">
        <f t="shared" si="21"/>
        <v>1</v>
      </c>
      <c r="P108">
        <f t="shared" si="13"/>
        <v>0</v>
      </c>
      <c r="Q108">
        <f t="shared" si="14"/>
        <v>1</v>
      </c>
      <c r="R108">
        <f t="shared" si="15"/>
        <v>0</v>
      </c>
      <c r="S108">
        <v>0</v>
      </c>
      <c r="T108">
        <f t="shared" si="16"/>
        <v>-1.0842699345699336</v>
      </c>
      <c r="U108">
        <v>-1.5205337562218348</v>
      </c>
      <c r="V108">
        <f t="shared" si="17"/>
        <v>-0.43626382165190125</v>
      </c>
    </row>
    <row r="109" spans="1:22" x14ac:dyDescent="0.2">
      <c r="A109">
        <f t="shared" si="18"/>
        <v>108</v>
      </c>
      <c r="B109" s="2">
        <f t="shared" si="19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6">
        <v>3.8</v>
      </c>
      <c r="H109" s="5">
        <v>20</v>
      </c>
      <c r="I109" s="7" t="s">
        <v>20</v>
      </c>
      <c r="J109" s="8" t="s">
        <v>18</v>
      </c>
      <c r="K109">
        <v>283</v>
      </c>
      <c r="L109">
        <v>73.704865393879203</v>
      </c>
      <c r="M109">
        <v>76.370198262999509</v>
      </c>
      <c r="N109">
        <f t="shared" si="20"/>
        <v>0</v>
      </c>
      <c r="O109">
        <f t="shared" si="21"/>
        <v>1</v>
      </c>
      <c r="P109">
        <f t="shared" si="13"/>
        <v>0</v>
      </c>
      <c r="Q109">
        <f t="shared" si="14"/>
        <v>1</v>
      </c>
      <c r="R109">
        <f t="shared" si="15"/>
        <v>0</v>
      </c>
      <c r="S109">
        <v>0</v>
      </c>
      <c r="T109">
        <f t="shared" si="16"/>
        <v>-1.8738609746692523</v>
      </c>
      <c r="U109">
        <v>-2.70744932875875</v>
      </c>
      <c r="V109">
        <f t="shared" si="17"/>
        <v>-0.83358835408949772</v>
      </c>
    </row>
    <row r="110" spans="1:22" x14ac:dyDescent="0.2">
      <c r="A110">
        <f t="shared" si="18"/>
        <v>109</v>
      </c>
      <c r="B110" s="2">
        <f t="shared" si="19"/>
        <v>59</v>
      </c>
      <c r="C110" s="27">
        <v>43419</v>
      </c>
      <c r="D110" s="28">
        <v>0.82395833333333324</v>
      </c>
      <c r="E110" s="29">
        <v>-8.2100000000000009</v>
      </c>
      <c r="F110" s="29">
        <v>116.33</v>
      </c>
      <c r="G110" s="6">
        <v>3.7</v>
      </c>
      <c r="H110" s="29">
        <v>5</v>
      </c>
      <c r="I110" s="2" t="s">
        <v>20</v>
      </c>
      <c r="J110" s="8" t="s">
        <v>15</v>
      </c>
      <c r="K110">
        <v>770</v>
      </c>
      <c r="L110">
        <v>62.043000961657171</v>
      </c>
      <c r="M110">
        <v>62.244148064924083</v>
      </c>
      <c r="N110">
        <f t="shared" si="20"/>
        <v>0</v>
      </c>
      <c r="O110">
        <f t="shared" si="21"/>
        <v>1</v>
      </c>
      <c r="P110">
        <f t="shared" si="13"/>
        <v>0</v>
      </c>
      <c r="Q110">
        <f t="shared" si="14"/>
        <v>1</v>
      </c>
      <c r="R110">
        <f t="shared" si="15"/>
        <v>0</v>
      </c>
      <c r="S110">
        <v>1</v>
      </c>
      <c r="T110">
        <f t="shared" si="16"/>
        <v>-2.2090806316614811</v>
      </c>
      <c r="U110">
        <v>-2.8579643265907406</v>
      </c>
      <c r="V110">
        <f t="shared" si="17"/>
        <v>-0.64888369492925957</v>
      </c>
    </row>
    <row r="111" spans="1:22" x14ac:dyDescent="0.2">
      <c r="A111">
        <f t="shared" si="18"/>
        <v>110</v>
      </c>
      <c r="B111" s="2">
        <f t="shared" si="19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6">
        <v>3.7</v>
      </c>
      <c r="H111" s="5">
        <v>11</v>
      </c>
      <c r="I111" s="7" t="s">
        <v>20</v>
      </c>
      <c r="J111" s="8" t="s">
        <v>14</v>
      </c>
      <c r="K111">
        <v>210</v>
      </c>
      <c r="L111">
        <v>23.835078470597363</v>
      </c>
      <c r="M111">
        <v>26.25092313994946</v>
      </c>
      <c r="N111">
        <f t="shared" si="20"/>
        <v>0</v>
      </c>
      <c r="O111">
        <f t="shared" si="21"/>
        <v>1</v>
      </c>
      <c r="P111">
        <f t="shared" si="13"/>
        <v>0</v>
      </c>
      <c r="Q111">
        <f t="shared" si="14"/>
        <v>1</v>
      </c>
      <c r="R111">
        <f t="shared" si="15"/>
        <v>0</v>
      </c>
      <c r="S111">
        <v>1</v>
      </c>
      <c r="T111">
        <f t="shared" si="16"/>
        <v>-1.2324755818125488</v>
      </c>
      <c r="U111">
        <v>-1.7118362909125027</v>
      </c>
      <c r="V111">
        <f t="shared" si="17"/>
        <v>-0.47936070909995387</v>
      </c>
    </row>
    <row r="112" spans="1:22" x14ac:dyDescent="0.2">
      <c r="A112">
        <f t="shared" si="18"/>
        <v>111</v>
      </c>
      <c r="B112" s="2">
        <f t="shared" si="19"/>
        <v>60</v>
      </c>
      <c r="C112" s="27">
        <v>43421</v>
      </c>
      <c r="D112" s="28">
        <v>0.52866898148148145</v>
      </c>
      <c r="E112" s="29">
        <v>-8.35</v>
      </c>
      <c r="F112" s="29">
        <v>116.09</v>
      </c>
      <c r="G112" s="6">
        <v>3.7</v>
      </c>
      <c r="H112" s="29">
        <v>11</v>
      </c>
      <c r="I112" s="2" t="s">
        <v>20</v>
      </c>
      <c r="J112" s="8" t="s">
        <v>15</v>
      </c>
      <c r="K112">
        <v>770</v>
      </c>
      <c r="L112">
        <v>50.769469002227638</v>
      </c>
      <c r="M112">
        <v>51.94746367983862</v>
      </c>
      <c r="N112">
        <f t="shared" si="20"/>
        <v>0</v>
      </c>
      <c r="O112">
        <f t="shared" si="21"/>
        <v>1</v>
      </c>
      <c r="P112">
        <f t="shared" si="13"/>
        <v>0</v>
      </c>
      <c r="Q112">
        <f t="shared" si="14"/>
        <v>1</v>
      </c>
      <c r="R112">
        <f t="shared" si="15"/>
        <v>0</v>
      </c>
      <c r="S112">
        <v>1</v>
      </c>
      <c r="T112">
        <f t="shared" si="16"/>
        <v>-2.0916481158602811</v>
      </c>
      <c r="U112">
        <v>-2.3579643265907406</v>
      </c>
      <c r="V112">
        <f t="shared" si="17"/>
        <v>-0.26631621073045952</v>
      </c>
    </row>
    <row r="113" spans="1:22" x14ac:dyDescent="0.2">
      <c r="A113">
        <f t="shared" si="18"/>
        <v>112</v>
      </c>
      <c r="B113" s="2">
        <f t="shared" si="19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6">
        <v>5.0999999999999996</v>
      </c>
      <c r="H113" s="5">
        <v>10</v>
      </c>
      <c r="I113" s="7" t="s">
        <v>20</v>
      </c>
      <c r="J113" s="8" t="s">
        <v>18</v>
      </c>
      <c r="K113">
        <v>283</v>
      </c>
      <c r="L113">
        <v>76.326023434540531</v>
      </c>
      <c r="M113">
        <v>76.978320671017698</v>
      </c>
      <c r="N113">
        <f t="shared" si="20"/>
        <v>0</v>
      </c>
      <c r="O113">
        <f t="shared" si="21"/>
        <v>1</v>
      </c>
      <c r="P113">
        <f t="shared" si="13"/>
        <v>0</v>
      </c>
      <c r="Q113">
        <f t="shared" si="14"/>
        <v>1</v>
      </c>
      <c r="R113">
        <f t="shared" si="15"/>
        <v>0</v>
      </c>
      <c r="S113">
        <v>0</v>
      </c>
      <c r="T113">
        <f t="shared" si="16"/>
        <v>-0.18623176950390488</v>
      </c>
      <c r="U113">
        <v>-0.79480119654327008</v>
      </c>
      <c r="V113">
        <f t="shared" si="17"/>
        <v>-0.60856942703936523</v>
      </c>
    </row>
    <row r="114" spans="1:22" x14ac:dyDescent="0.2">
      <c r="A114">
        <f t="shared" si="18"/>
        <v>113</v>
      </c>
      <c r="B114" s="2">
        <f t="shared" si="19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6">
        <v>5.0999999999999996</v>
      </c>
      <c r="H114" s="5">
        <v>10</v>
      </c>
      <c r="I114" s="7" t="s">
        <v>20</v>
      </c>
      <c r="J114" s="8" t="s">
        <v>16</v>
      </c>
      <c r="K114">
        <v>1141</v>
      </c>
      <c r="L114">
        <v>45.913425587818345</v>
      </c>
      <c r="M114">
        <v>46.989814313403414</v>
      </c>
      <c r="N114">
        <f t="shared" si="20"/>
        <v>0</v>
      </c>
      <c r="O114">
        <f t="shared" si="21"/>
        <v>1</v>
      </c>
      <c r="P114">
        <f t="shared" si="13"/>
        <v>0</v>
      </c>
      <c r="Q114">
        <f t="shared" si="14"/>
        <v>1</v>
      </c>
      <c r="R114">
        <f t="shared" si="15"/>
        <v>0</v>
      </c>
      <c r="S114">
        <v>0</v>
      </c>
      <c r="T114">
        <f t="shared" si="16"/>
        <v>-0.36112354185281637</v>
      </c>
      <c r="U114">
        <v>-0.89438183944105576</v>
      </c>
      <c r="V114">
        <f t="shared" si="17"/>
        <v>-0.53325829758823939</v>
      </c>
    </row>
    <row r="115" spans="1:22" x14ac:dyDescent="0.2">
      <c r="A115" s="11">
        <f t="shared" si="18"/>
        <v>114</v>
      </c>
      <c r="B115" s="12">
        <f t="shared" si="19"/>
        <v>62</v>
      </c>
      <c r="C115" s="13">
        <v>43508</v>
      </c>
      <c r="D115" s="14">
        <v>0.71231481481481485</v>
      </c>
      <c r="E115" s="15">
        <v>-8.39</v>
      </c>
      <c r="F115" s="15">
        <v>116.84</v>
      </c>
      <c r="G115" s="16">
        <v>4.5</v>
      </c>
      <c r="H115" s="15">
        <v>10</v>
      </c>
      <c r="I115" s="17" t="s">
        <v>20</v>
      </c>
      <c r="J115" s="18" t="s">
        <v>16</v>
      </c>
      <c r="K115">
        <v>1141</v>
      </c>
      <c r="L115">
        <v>38.954393040170586</v>
      </c>
      <c r="M115">
        <v>40.217468059639089</v>
      </c>
      <c r="N115">
        <f t="shared" si="20"/>
        <v>0</v>
      </c>
      <c r="O115">
        <f t="shared" si="21"/>
        <v>1</v>
      </c>
      <c r="P115">
        <f t="shared" si="13"/>
        <v>0</v>
      </c>
      <c r="Q115">
        <f t="shared" si="14"/>
        <v>1</v>
      </c>
      <c r="R115">
        <f t="shared" si="15"/>
        <v>0</v>
      </c>
      <c r="S115">
        <v>0</v>
      </c>
      <c r="T115">
        <f t="shared" si="16"/>
        <v>-0.98703844596409951</v>
      </c>
      <c r="U115">
        <v>-1.6215861019321345</v>
      </c>
      <c r="V115">
        <f t="shared" si="17"/>
        <v>-0.63454765596803497</v>
      </c>
    </row>
    <row r="116" spans="1:22" x14ac:dyDescent="0.2">
      <c r="A116" s="11">
        <f t="shared" si="18"/>
        <v>115</v>
      </c>
      <c r="B116" s="12">
        <f t="shared" si="19"/>
        <v>63</v>
      </c>
      <c r="C116" s="37">
        <v>43541</v>
      </c>
      <c r="D116" s="14">
        <v>0.58848379629629632</v>
      </c>
      <c r="E116" s="15">
        <v>-8.4700000000000006</v>
      </c>
      <c r="F116" s="15">
        <v>116.55</v>
      </c>
      <c r="G116" s="16">
        <v>5.5</v>
      </c>
      <c r="H116" s="15">
        <v>19</v>
      </c>
      <c r="I116" s="12" t="s">
        <v>21</v>
      </c>
      <c r="J116" s="18" t="s">
        <v>15</v>
      </c>
      <c r="K116">
        <v>770</v>
      </c>
      <c r="L116">
        <v>44.602245905875868</v>
      </c>
      <c r="M116">
        <v>48.480515053454425</v>
      </c>
      <c r="N116">
        <f t="shared" si="20"/>
        <v>1</v>
      </c>
      <c r="O116">
        <f t="shared" si="21"/>
        <v>0</v>
      </c>
      <c r="P116">
        <f t="shared" si="13"/>
        <v>0</v>
      </c>
      <c r="Q116">
        <f t="shared" si="14"/>
        <v>1</v>
      </c>
      <c r="R116">
        <f t="shared" si="15"/>
        <v>0</v>
      </c>
      <c r="S116">
        <v>1</v>
      </c>
      <c r="T116">
        <f t="shared" si="16"/>
        <v>0.16247698847461101</v>
      </c>
      <c r="U116">
        <v>-0.56093387595553157</v>
      </c>
      <c r="V116">
        <f t="shared" si="17"/>
        <v>-0.72341086443014258</v>
      </c>
    </row>
    <row r="117" spans="1:22" x14ac:dyDescent="0.2">
      <c r="A117" s="11">
        <f t="shared" si="18"/>
        <v>116</v>
      </c>
      <c r="B117" s="12">
        <f t="shared" si="19"/>
        <v>63</v>
      </c>
      <c r="C117" s="13">
        <v>43541</v>
      </c>
      <c r="D117" s="14">
        <v>0.58848379629629632</v>
      </c>
      <c r="E117" s="15">
        <v>-8.4700000000000006</v>
      </c>
      <c r="F117" s="15">
        <v>116.55</v>
      </c>
      <c r="G117" s="16">
        <v>5.5</v>
      </c>
      <c r="H117" s="15">
        <v>19</v>
      </c>
      <c r="I117" s="12" t="s">
        <v>21</v>
      </c>
      <c r="J117" s="18" t="s">
        <v>16</v>
      </c>
      <c r="K117">
        <v>1141</v>
      </c>
      <c r="L117">
        <v>47.410108769841003</v>
      </c>
      <c r="M117">
        <v>51.075614666572093</v>
      </c>
      <c r="N117">
        <f t="shared" si="20"/>
        <v>1</v>
      </c>
      <c r="O117">
        <f t="shared" si="21"/>
        <v>0</v>
      </c>
      <c r="P117">
        <f t="shared" si="13"/>
        <v>0</v>
      </c>
      <c r="Q117">
        <f t="shared" si="14"/>
        <v>1</v>
      </c>
      <c r="R117">
        <f t="shared" si="15"/>
        <v>0</v>
      </c>
      <c r="S117">
        <v>1</v>
      </c>
      <c r="T117">
        <f t="shared" si="16"/>
        <v>7.5962598548786854E-3</v>
      </c>
      <c r="U117">
        <v>-0.35886954327196208</v>
      </c>
      <c r="V117">
        <f t="shared" si="17"/>
        <v>-0.36646580312684074</v>
      </c>
    </row>
    <row r="118" spans="1:22" x14ac:dyDescent="0.2">
      <c r="A118" s="11">
        <f t="shared" si="18"/>
        <v>117</v>
      </c>
      <c r="B118" s="12">
        <f t="shared" si="19"/>
        <v>64</v>
      </c>
      <c r="C118" s="37">
        <v>43541</v>
      </c>
      <c r="D118" s="14">
        <v>0.58981481481481479</v>
      </c>
      <c r="E118" s="15">
        <v>-8.51</v>
      </c>
      <c r="F118" s="15">
        <v>116.49</v>
      </c>
      <c r="G118" s="16">
        <v>5.0999999999999996</v>
      </c>
      <c r="H118" s="15">
        <v>11</v>
      </c>
      <c r="I118" s="12" t="s">
        <v>21</v>
      </c>
      <c r="J118" s="18" t="s">
        <v>15</v>
      </c>
      <c r="K118">
        <v>770</v>
      </c>
      <c r="L118">
        <v>36.872886592294471</v>
      </c>
      <c r="M118">
        <v>38.478692358865437</v>
      </c>
      <c r="N118">
        <f t="shared" si="20"/>
        <v>1</v>
      </c>
      <c r="O118">
        <f t="shared" si="21"/>
        <v>0</v>
      </c>
      <c r="P118">
        <f t="shared" si="13"/>
        <v>0</v>
      </c>
      <c r="Q118">
        <f t="shared" si="14"/>
        <v>1</v>
      </c>
      <c r="R118">
        <f t="shared" si="15"/>
        <v>0</v>
      </c>
      <c r="S118">
        <v>1</v>
      </c>
      <c r="T118">
        <f t="shared" si="16"/>
        <v>-0.14735445044466136</v>
      </c>
      <c r="U118">
        <v>-0.74131394080900492</v>
      </c>
      <c r="V118">
        <f t="shared" si="17"/>
        <v>-0.59395949036434359</v>
      </c>
    </row>
    <row r="119" spans="1:22" x14ac:dyDescent="0.2">
      <c r="A119">
        <f t="shared" si="18"/>
        <v>118</v>
      </c>
      <c r="B119" s="2">
        <f t="shared" si="19"/>
        <v>65</v>
      </c>
      <c r="C119" s="34">
        <v>43571</v>
      </c>
      <c r="D119" s="35">
        <v>0.55440972223004792</v>
      </c>
      <c r="E119" s="36">
        <v>-8.2200000000000006</v>
      </c>
      <c r="F119" s="36">
        <v>116.76</v>
      </c>
      <c r="G119" s="6">
        <v>4.5999999999999996</v>
      </c>
      <c r="H119" s="36">
        <v>16</v>
      </c>
      <c r="I119" s="7" t="s">
        <v>20</v>
      </c>
      <c r="J119" s="8" t="s">
        <v>12</v>
      </c>
      <c r="K119">
        <v>386</v>
      </c>
      <c r="L119">
        <v>217.7283448303655</v>
      </c>
      <c r="M119">
        <v>218.31544183261647</v>
      </c>
      <c r="N119">
        <f t="shared" si="20"/>
        <v>0</v>
      </c>
      <c r="O119">
        <f t="shared" si="21"/>
        <v>1</v>
      </c>
      <c r="P119">
        <f t="shared" si="13"/>
        <v>0</v>
      </c>
      <c r="Q119">
        <f t="shared" si="14"/>
        <v>1</v>
      </c>
      <c r="R119">
        <f t="shared" si="15"/>
        <v>0</v>
      </c>
      <c r="S119">
        <v>0</v>
      </c>
      <c r="T119">
        <f t="shared" si="16"/>
        <v>-1.5152409650372176</v>
      </c>
      <c r="U119">
        <v>-2.0313580697030686</v>
      </c>
      <c r="V119">
        <f t="shared" si="17"/>
        <v>-0.51611710466585103</v>
      </c>
    </row>
    <row r="120" spans="1:22" x14ac:dyDescent="0.2">
      <c r="A120">
        <f t="shared" si="18"/>
        <v>119</v>
      </c>
      <c r="B120" s="2">
        <f t="shared" si="19"/>
        <v>66</v>
      </c>
      <c r="C120" s="34">
        <v>43579</v>
      </c>
      <c r="D120" s="35">
        <v>0.76734953703999054</v>
      </c>
      <c r="E120" s="36">
        <v>-8.1</v>
      </c>
      <c r="F120" s="36">
        <v>117.71</v>
      </c>
      <c r="G120" s="6">
        <v>3.8</v>
      </c>
      <c r="H120" s="36">
        <v>10</v>
      </c>
      <c r="I120" s="7" t="s">
        <v>20</v>
      </c>
      <c r="J120" s="8" t="s">
        <v>12</v>
      </c>
      <c r="K120">
        <v>386</v>
      </c>
      <c r="L120">
        <v>119.77550230598494</v>
      </c>
      <c r="M120">
        <v>120.19222500915359</v>
      </c>
      <c r="N120">
        <f t="shared" si="20"/>
        <v>0</v>
      </c>
      <c r="O120">
        <f t="shared" si="21"/>
        <v>1</v>
      </c>
      <c r="P120">
        <f t="shared" si="13"/>
        <v>0</v>
      </c>
      <c r="Q120">
        <f t="shared" si="14"/>
        <v>1</v>
      </c>
      <c r="R120">
        <f t="shared" si="15"/>
        <v>0</v>
      </c>
      <c r="S120">
        <v>1</v>
      </c>
      <c r="T120">
        <f t="shared" si="16"/>
        <v>-2.2669254302969311</v>
      </c>
      <c r="U120">
        <v>-2.5313580697030686</v>
      </c>
      <c r="V120">
        <f t="shared" si="17"/>
        <v>-0.26443263940613759</v>
      </c>
    </row>
    <row r="121" spans="1:22" x14ac:dyDescent="0.2">
      <c r="A121">
        <f t="shared" si="18"/>
        <v>120</v>
      </c>
      <c r="B121" s="2">
        <f t="shared" si="19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6">
        <v>3.8</v>
      </c>
      <c r="H121" s="5">
        <v>10</v>
      </c>
      <c r="I121" s="7" t="s">
        <v>20</v>
      </c>
      <c r="J121" s="8" t="s">
        <v>16</v>
      </c>
      <c r="K121">
        <v>1141</v>
      </c>
      <c r="L121">
        <v>116.1383311956387</v>
      </c>
      <c r="M121">
        <v>116.568057258015</v>
      </c>
      <c r="N121">
        <f t="shared" si="20"/>
        <v>0</v>
      </c>
      <c r="O121">
        <f t="shared" si="21"/>
        <v>1</v>
      </c>
      <c r="P121">
        <f t="shared" si="13"/>
        <v>0</v>
      </c>
      <c r="Q121">
        <f t="shared" si="14"/>
        <v>1</v>
      </c>
      <c r="R121">
        <f t="shared" si="15"/>
        <v>0</v>
      </c>
      <c r="S121">
        <v>0</v>
      </c>
      <c r="T121">
        <f t="shared" si="16"/>
        <v>-2.5975674543234559</v>
      </c>
      <c r="U121">
        <v>-3.0084793244227312</v>
      </c>
      <c r="V121">
        <f t="shared" si="17"/>
        <v>-0.41091187009927532</v>
      </c>
    </row>
    <row r="122" spans="1:22" x14ac:dyDescent="0.2">
      <c r="A122">
        <f t="shared" si="18"/>
        <v>121</v>
      </c>
      <c r="B122" s="2">
        <f t="shared" si="19"/>
        <v>67</v>
      </c>
      <c r="C122" s="34">
        <v>43699</v>
      </c>
      <c r="D122" s="35">
        <v>0.37410879629629629</v>
      </c>
      <c r="E122" s="36">
        <v>-7.92</v>
      </c>
      <c r="F122" s="36">
        <v>117.15</v>
      </c>
      <c r="G122" s="6">
        <v>4.7</v>
      </c>
      <c r="H122" s="36">
        <v>10</v>
      </c>
      <c r="I122" s="7" t="s">
        <v>20</v>
      </c>
      <c r="J122" s="8" t="s">
        <v>12</v>
      </c>
      <c r="K122">
        <v>386</v>
      </c>
      <c r="L122">
        <v>184.86066146795699</v>
      </c>
      <c r="M122">
        <v>185.13093787471232</v>
      </c>
      <c r="N122">
        <f t="shared" si="20"/>
        <v>0</v>
      </c>
      <c r="O122">
        <f t="shared" si="21"/>
        <v>1</v>
      </c>
      <c r="P122">
        <f t="shared" si="13"/>
        <v>0</v>
      </c>
      <c r="Q122">
        <f t="shared" si="14"/>
        <v>1</v>
      </c>
      <c r="R122">
        <f t="shared" si="15"/>
        <v>0</v>
      </c>
      <c r="S122">
        <v>1</v>
      </c>
      <c r="T122">
        <f t="shared" si="16"/>
        <v>-1.2854565265833851</v>
      </c>
      <c r="U122">
        <v>-1.9743863935496506</v>
      </c>
      <c r="V122">
        <f t="shared" si="17"/>
        <v>-0.68892986696626557</v>
      </c>
    </row>
    <row r="123" spans="1:22" x14ac:dyDescent="0.2">
      <c r="A123">
        <f t="shared" si="18"/>
        <v>122</v>
      </c>
      <c r="B123" s="2">
        <f t="shared" si="19"/>
        <v>67</v>
      </c>
      <c r="C123" s="34">
        <v>43699</v>
      </c>
      <c r="D123" s="35">
        <v>0.37410879629629629</v>
      </c>
      <c r="E123" s="36">
        <v>-7.92</v>
      </c>
      <c r="F123" s="36">
        <v>117.15</v>
      </c>
      <c r="G123" s="6">
        <v>4.7</v>
      </c>
      <c r="H123" s="36">
        <v>10</v>
      </c>
      <c r="I123" s="2" t="s">
        <v>20</v>
      </c>
      <c r="J123" s="8" t="s">
        <v>15</v>
      </c>
      <c r="K123">
        <v>770</v>
      </c>
      <c r="L123">
        <v>134.91677794532623</v>
      </c>
      <c r="M123">
        <v>135.28686917490725</v>
      </c>
      <c r="N123">
        <f t="shared" si="20"/>
        <v>0</v>
      </c>
      <c r="O123">
        <f t="shared" si="21"/>
        <v>1</v>
      </c>
      <c r="P123">
        <f t="shared" si="13"/>
        <v>0</v>
      </c>
      <c r="Q123">
        <f t="shared" si="14"/>
        <v>1</v>
      </c>
      <c r="R123">
        <f t="shared" si="15"/>
        <v>0</v>
      </c>
      <c r="S123">
        <v>1</v>
      </c>
      <c r="T123">
        <f t="shared" si="16"/>
        <v>-1.3243744081606275</v>
      </c>
      <c r="U123">
        <v>-2.4688887013989187</v>
      </c>
      <c r="V123">
        <f t="shared" si="17"/>
        <v>-1.1445142932382912</v>
      </c>
    </row>
    <row r="124" spans="1:22" x14ac:dyDescent="0.2">
      <c r="A124">
        <f t="shared" si="18"/>
        <v>123</v>
      </c>
      <c r="B124" s="2">
        <f t="shared" si="19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6">
        <v>4.7</v>
      </c>
      <c r="H124" s="5">
        <v>10</v>
      </c>
      <c r="I124" s="7" t="s">
        <v>20</v>
      </c>
      <c r="J124" s="8" t="s">
        <v>18</v>
      </c>
      <c r="K124">
        <v>283</v>
      </c>
      <c r="L124">
        <v>69.541234354373785</v>
      </c>
      <c r="M124">
        <v>70.25655325683104</v>
      </c>
      <c r="N124">
        <f t="shared" si="20"/>
        <v>0</v>
      </c>
      <c r="O124">
        <f t="shared" si="21"/>
        <v>1</v>
      </c>
      <c r="P124">
        <f t="shared" si="13"/>
        <v>0</v>
      </c>
      <c r="Q124">
        <f t="shared" si="14"/>
        <v>1</v>
      </c>
      <c r="R124">
        <f t="shared" si="15"/>
        <v>0</v>
      </c>
      <c r="S124">
        <v>0</v>
      </c>
      <c r="T124">
        <f t="shared" si="16"/>
        <v>-0.6161962121881428</v>
      </c>
      <c r="U124">
        <v>-1.3904627508639134</v>
      </c>
      <c r="V124">
        <f t="shared" si="17"/>
        <v>-0.77426653867577055</v>
      </c>
    </row>
    <row r="125" spans="1:22" x14ac:dyDescent="0.2">
      <c r="A125">
        <f t="shared" si="18"/>
        <v>124</v>
      </c>
      <c r="B125" s="2">
        <f t="shared" si="19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6">
        <v>4.7</v>
      </c>
      <c r="H125" s="5">
        <v>10</v>
      </c>
      <c r="I125" s="7" t="s">
        <v>20</v>
      </c>
      <c r="J125" s="8" t="s">
        <v>16</v>
      </c>
      <c r="K125">
        <v>1141</v>
      </c>
      <c r="L125">
        <v>95.643589621406889</v>
      </c>
      <c r="M125">
        <v>96.164942862085098</v>
      </c>
      <c r="N125">
        <f t="shared" si="20"/>
        <v>0</v>
      </c>
      <c r="O125">
        <f t="shared" si="21"/>
        <v>1</v>
      </c>
      <c r="P125">
        <f t="shared" si="13"/>
        <v>0</v>
      </c>
      <c r="Q125">
        <f t="shared" si="14"/>
        <v>1</v>
      </c>
      <c r="R125">
        <f t="shared" si="15"/>
        <v>0</v>
      </c>
      <c r="S125">
        <v>0</v>
      </c>
      <c r="T125">
        <f t="shared" si="16"/>
        <v>-1.2510647738362739</v>
      </c>
      <c r="U125">
        <v>-1.4013223757105315</v>
      </c>
      <c r="V125">
        <f t="shared" si="17"/>
        <v>-0.15025760187425763</v>
      </c>
    </row>
    <row r="126" spans="1:22" x14ac:dyDescent="0.2">
      <c r="A126">
        <f t="shared" si="18"/>
        <v>125</v>
      </c>
      <c r="B126" s="2">
        <f t="shared" si="19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6">
        <v>4.5999999999999996</v>
      </c>
      <c r="H126" s="5">
        <v>10</v>
      </c>
      <c r="I126" s="7" t="s">
        <v>20</v>
      </c>
      <c r="J126" s="8" t="s">
        <v>13</v>
      </c>
      <c r="K126">
        <v>290</v>
      </c>
      <c r="L126">
        <v>96.937892582870234</v>
      </c>
      <c r="M126">
        <v>97.452321770228167</v>
      </c>
      <c r="N126">
        <f t="shared" si="20"/>
        <v>0</v>
      </c>
      <c r="O126">
        <f t="shared" si="21"/>
        <v>1</v>
      </c>
      <c r="P126">
        <f t="shared" si="13"/>
        <v>0</v>
      </c>
      <c r="Q126">
        <f t="shared" si="14"/>
        <v>1</v>
      </c>
      <c r="R126">
        <f t="shared" si="15"/>
        <v>0</v>
      </c>
      <c r="S126">
        <v>1</v>
      </c>
      <c r="T126">
        <f t="shared" si="16"/>
        <v>-0.943592294014166</v>
      </c>
      <c r="U126">
        <v>-1.6572640561999685</v>
      </c>
      <c r="V126">
        <f t="shared" si="17"/>
        <v>-0.71367176218580253</v>
      </c>
    </row>
    <row r="127" spans="1:22" x14ac:dyDescent="0.2">
      <c r="A127">
        <f t="shared" si="18"/>
        <v>126</v>
      </c>
      <c r="B127" s="2">
        <f t="shared" si="19"/>
        <v>68</v>
      </c>
      <c r="C127" s="38">
        <v>43720</v>
      </c>
      <c r="D127" s="39">
        <v>0.27743055555555557</v>
      </c>
      <c r="E127" s="40">
        <v>-7.89</v>
      </c>
      <c r="F127" s="40">
        <v>117.69</v>
      </c>
      <c r="G127" s="6">
        <v>4.5999999999999996</v>
      </c>
      <c r="H127" s="40">
        <v>10</v>
      </c>
      <c r="I127" s="2" t="s">
        <v>20</v>
      </c>
      <c r="J127" s="8" t="s">
        <v>15</v>
      </c>
      <c r="K127">
        <v>770</v>
      </c>
      <c r="L127">
        <v>184.53152886292455</v>
      </c>
      <c r="M127">
        <v>184.80228663219606</v>
      </c>
      <c r="N127">
        <f t="shared" si="20"/>
        <v>0</v>
      </c>
      <c r="O127">
        <f t="shared" si="21"/>
        <v>1</v>
      </c>
      <c r="P127">
        <f t="shared" si="13"/>
        <v>0</v>
      </c>
      <c r="Q127">
        <f t="shared" si="14"/>
        <v>1</v>
      </c>
      <c r="R127">
        <f t="shared" si="15"/>
        <v>0</v>
      </c>
      <c r="S127">
        <v>0</v>
      </c>
      <c r="T127">
        <f t="shared" si="16"/>
        <v>-1.6394451035022919</v>
      </c>
      <c r="U127">
        <v>-2.8579643265907406</v>
      </c>
      <c r="V127">
        <f t="shared" si="17"/>
        <v>-1.2185192230884487</v>
      </c>
    </row>
    <row r="128" spans="1:22" x14ac:dyDescent="0.2">
      <c r="A128">
        <f t="shared" si="18"/>
        <v>127</v>
      </c>
      <c r="B128" s="2">
        <f t="shared" si="19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6">
        <v>4.5999999999999996</v>
      </c>
      <c r="H128" s="5">
        <v>10</v>
      </c>
      <c r="I128" s="7" t="s">
        <v>20</v>
      </c>
      <c r="J128" s="8" t="s">
        <v>18</v>
      </c>
      <c r="K128">
        <v>283</v>
      </c>
      <c r="L128">
        <v>73.219283176838076</v>
      </c>
      <c r="M128">
        <v>73.899008308163403</v>
      </c>
      <c r="N128">
        <f t="shared" si="20"/>
        <v>0</v>
      </c>
      <c r="O128">
        <f t="shared" si="21"/>
        <v>1</v>
      </c>
      <c r="P128">
        <f t="shared" si="13"/>
        <v>0</v>
      </c>
      <c r="Q128">
        <f t="shared" si="14"/>
        <v>1</v>
      </c>
      <c r="R128">
        <f t="shared" si="15"/>
        <v>0</v>
      </c>
      <c r="S128">
        <v>0</v>
      </c>
      <c r="T128">
        <f t="shared" si="16"/>
        <v>-0.7716118163020913</v>
      </c>
      <c r="U128">
        <v>-1.8784436304301939</v>
      </c>
      <c r="V128">
        <f t="shared" si="17"/>
        <v>-1.1068318141281026</v>
      </c>
    </row>
    <row r="129" spans="1:22" x14ac:dyDescent="0.2">
      <c r="A129">
        <f t="shared" si="18"/>
        <v>128</v>
      </c>
      <c r="B129" s="2">
        <f t="shared" si="19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6">
        <v>4.5999999999999996</v>
      </c>
      <c r="H129" s="5">
        <v>10</v>
      </c>
      <c r="I129" s="7" t="s">
        <v>20</v>
      </c>
      <c r="J129" s="8" t="s">
        <v>16</v>
      </c>
      <c r="K129">
        <v>1141</v>
      </c>
      <c r="L129">
        <v>130.14062651273792</v>
      </c>
      <c r="M129">
        <v>130.52426084497833</v>
      </c>
      <c r="N129">
        <f t="shared" si="20"/>
        <v>0</v>
      </c>
      <c r="O129">
        <f t="shared" si="21"/>
        <v>1</v>
      </c>
      <c r="P129">
        <f t="shared" si="13"/>
        <v>0</v>
      </c>
      <c r="Q129">
        <f t="shared" si="14"/>
        <v>1</v>
      </c>
      <c r="R129">
        <f t="shared" si="15"/>
        <v>0</v>
      </c>
      <c r="S129">
        <v>0</v>
      </c>
      <c r="T129">
        <f t="shared" si="16"/>
        <v>-1.5599682636505481</v>
      </c>
      <c r="U129">
        <v>-2.0362379883476471</v>
      </c>
      <c r="V129">
        <f t="shared" si="17"/>
        <v>-0.47626972469709905</v>
      </c>
    </row>
    <row r="130" spans="1:22" x14ac:dyDescent="0.2">
      <c r="A130">
        <f t="shared" si="18"/>
        <v>129</v>
      </c>
      <c r="B130" s="2">
        <f t="shared" si="19"/>
        <v>69</v>
      </c>
      <c r="C130" s="34">
        <v>43836</v>
      </c>
      <c r="D130" s="35">
        <v>0.81380787037037028</v>
      </c>
      <c r="E130" s="36">
        <v>-8.17</v>
      </c>
      <c r="F130" s="36">
        <v>118.52</v>
      </c>
      <c r="G130" s="6">
        <v>4.4000000000000004</v>
      </c>
      <c r="H130" s="36">
        <v>14</v>
      </c>
      <c r="I130" s="7" t="s">
        <v>20</v>
      </c>
      <c r="J130" s="8" t="s">
        <v>12</v>
      </c>
      <c r="K130">
        <v>386</v>
      </c>
      <c r="L130">
        <v>45.650378932391213</v>
      </c>
      <c r="M130">
        <v>47.748896287463104</v>
      </c>
      <c r="N130">
        <f t="shared" ref="N130:N157" si="22">IF(I130="normal",1,0)</f>
        <v>0</v>
      </c>
      <c r="O130">
        <f t="shared" ref="O130:O157" si="23">IF(I130="reverse",1,0)</f>
        <v>1</v>
      </c>
      <c r="P130">
        <f t="shared" si="13"/>
        <v>0</v>
      </c>
      <c r="Q130">
        <f t="shared" si="14"/>
        <v>1</v>
      </c>
      <c r="R130">
        <f t="shared" si="15"/>
        <v>0</v>
      </c>
      <c r="S130">
        <v>0</v>
      </c>
      <c r="T130">
        <f t="shared" si="16"/>
        <v>-0.86587828080207097</v>
      </c>
      <c r="U130">
        <v>-1.8634620187414723</v>
      </c>
      <c r="V130">
        <f t="shared" si="17"/>
        <v>-0.99758373793940136</v>
      </c>
    </row>
    <row r="131" spans="1:22" x14ac:dyDescent="0.2">
      <c r="A131">
        <f t="shared" si="18"/>
        <v>130</v>
      </c>
      <c r="B131" s="2">
        <f t="shared" si="19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6">
        <v>4.4000000000000004</v>
      </c>
      <c r="H131" s="5">
        <v>14</v>
      </c>
      <c r="I131" s="7" t="s">
        <v>20</v>
      </c>
      <c r="J131" s="8" t="s">
        <v>13</v>
      </c>
      <c r="K131">
        <v>290</v>
      </c>
      <c r="L131">
        <v>43.516837554768216</v>
      </c>
      <c r="M131">
        <v>45.713402310133134</v>
      </c>
      <c r="N131">
        <f t="shared" si="22"/>
        <v>0</v>
      </c>
      <c r="O131">
        <f t="shared" si="23"/>
        <v>1</v>
      </c>
      <c r="P131">
        <f t="shared" ref="P131:P157" si="24">IF(I131="strike slip",1,0)</f>
        <v>0</v>
      </c>
      <c r="Q131">
        <f t="shared" ref="Q131:Q157" si="25">IF(G131&gt;$X$3,0,1)</f>
        <v>1</v>
      </c>
      <c r="R131">
        <f t="shared" ref="R131:R157" si="26">IF(G131&gt;$X$3,1,0)</f>
        <v>0</v>
      </c>
      <c r="S131">
        <v>0</v>
      </c>
      <c r="T131">
        <f t="shared" ref="T131:T157" si="27">$X$6+($X$7+$X$8*(G131-$X$2))*LOG10((SQRT((M131^2)+($X$9^2))/$X$4))-$X$10*(SQRT((M131^2)+($X$9^2))-$X$4)+Q131*$X$11*(G131-$X$3)+Q131*$X$12*((G131-$X$3)^2)+R131*$X$13*(G131-$X$3)+$X$14*LOG10(K131/$X$5)+$X$15*N131+$X$16*O131+$X$17*P131</f>
        <v>-0.74718504089270288</v>
      </c>
      <c r="U131">
        <v>-1.3702484223361091</v>
      </c>
      <c r="V131">
        <f t="shared" ref="V131:V157" si="28">U131-T131</f>
        <v>-0.62306338144340623</v>
      </c>
    </row>
    <row r="132" spans="1:22" x14ac:dyDescent="0.2">
      <c r="A132">
        <f t="shared" ref="A132:A157" si="29">A131+1</f>
        <v>131</v>
      </c>
      <c r="B132" s="2">
        <f t="shared" si="19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6">
        <v>4.4000000000000004</v>
      </c>
      <c r="H132" s="5">
        <v>14</v>
      </c>
      <c r="I132" s="7" t="s">
        <v>20</v>
      </c>
      <c r="J132" s="8" t="s">
        <v>18</v>
      </c>
      <c r="K132">
        <v>283</v>
      </c>
      <c r="L132">
        <v>127.96159236009052</v>
      </c>
      <c r="M132">
        <v>128.72516894271291</v>
      </c>
      <c r="N132">
        <f t="shared" si="22"/>
        <v>0</v>
      </c>
      <c r="O132">
        <f t="shared" si="23"/>
        <v>1</v>
      </c>
      <c r="P132">
        <f t="shared" si="24"/>
        <v>0</v>
      </c>
      <c r="Q132">
        <f t="shared" si="25"/>
        <v>1</v>
      </c>
      <c r="R132">
        <f t="shared" si="26"/>
        <v>0</v>
      </c>
      <c r="S132">
        <v>1</v>
      </c>
      <c r="T132">
        <f t="shared" si="27"/>
        <v>-1.3659880912687488</v>
      </c>
      <c r="U132">
        <v>-2.1968546792237809</v>
      </c>
      <c r="V132">
        <f t="shared" si="28"/>
        <v>-0.8308665879550321</v>
      </c>
    </row>
    <row r="133" spans="1:22" x14ac:dyDescent="0.2">
      <c r="A133" s="11">
        <f t="shared" si="29"/>
        <v>132</v>
      </c>
      <c r="B133" s="12">
        <f t="shared" si="19"/>
        <v>69</v>
      </c>
      <c r="C133" s="13">
        <v>43836</v>
      </c>
      <c r="D133" s="14">
        <v>0.81380787037037028</v>
      </c>
      <c r="E133" s="15">
        <v>-8.17</v>
      </c>
      <c r="F133" s="15">
        <v>118.52</v>
      </c>
      <c r="G133" s="16">
        <v>4.4000000000000004</v>
      </c>
      <c r="H133" s="15">
        <v>14</v>
      </c>
      <c r="I133" s="17" t="s">
        <v>20</v>
      </c>
      <c r="J133" s="18" t="s">
        <v>16</v>
      </c>
      <c r="K133">
        <v>1141</v>
      </c>
      <c r="L133">
        <v>192.61618215084559</v>
      </c>
      <c r="M133">
        <v>193.12429579513741</v>
      </c>
      <c r="N133">
        <f t="shared" si="22"/>
        <v>0</v>
      </c>
      <c r="O133">
        <f t="shared" si="23"/>
        <v>1</v>
      </c>
      <c r="P133">
        <f t="shared" si="24"/>
        <v>0</v>
      </c>
      <c r="Q133">
        <f t="shared" si="25"/>
        <v>1</v>
      </c>
      <c r="R133">
        <f t="shared" si="26"/>
        <v>0</v>
      </c>
      <c r="S133">
        <v>0</v>
      </c>
      <c r="T133">
        <f t="shared" si="27"/>
        <v>-2.0631032769856419</v>
      </c>
      <c r="U133">
        <v>-2.8579643265907406</v>
      </c>
      <c r="V133">
        <f t="shared" si="28"/>
        <v>-0.79486104960509874</v>
      </c>
    </row>
    <row r="134" spans="1:22" x14ac:dyDescent="0.2">
      <c r="A134">
        <f t="shared" si="29"/>
        <v>133</v>
      </c>
      <c r="B134" s="2">
        <f t="shared" si="19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6">
        <v>4.4000000000000004</v>
      </c>
      <c r="H134" s="5">
        <v>26</v>
      </c>
      <c r="I134" s="7" t="s">
        <v>20</v>
      </c>
      <c r="J134" s="8" t="s">
        <v>13</v>
      </c>
      <c r="K134">
        <v>290</v>
      </c>
      <c r="L134">
        <v>93.582452874927512</v>
      </c>
      <c r="M134">
        <v>97.127109944072913</v>
      </c>
      <c r="N134">
        <f t="shared" si="22"/>
        <v>0</v>
      </c>
      <c r="O134">
        <f t="shared" si="23"/>
        <v>1</v>
      </c>
      <c r="P134">
        <f t="shared" si="24"/>
        <v>0</v>
      </c>
      <c r="Q134">
        <f t="shared" si="25"/>
        <v>1</v>
      </c>
      <c r="R134">
        <f t="shared" si="26"/>
        <v>0</v>
      </c>
      <c r="S134">
        <v>0</v>
      </c>
      <c r="T134">
        <f t="shared" si="27"/>
        <v>-1.2029804101420194</v>
      </c>
      <c r="U134">
        <v>-1.6534206418668231</v>
      </c>
      <c r="V134">
        <f t="shared" si="28"/>
        <v>-0.45044023172480374</v>
      </c>
    </row>
    <row r="135" spans="1:22" x14ac:dyDescent="0.2">
      <c r="A135" s="11">
        <f t="shared" si="29"/>
        <v>134</v>
      </c>
      <c r="B135" s="12">
        <f t="shared" ref="B135:B157" si="30">IF(D135=D134,B134,B134+1)</f>
        <v>70</v>
      </c>
      <c r="C135" s="13">
        <v>43879</v>
      </c>
      <c r="D135" s="14">
        <v>0.60881944444444447</v>
      </c>
      <c r="E135" s="15">
        <v>-7.83</v>
      </c>
      <c r="F135" s="15">
        <v>118.82</v>
      </c>
      <c r="G135" s="16">
        <v>4.4000000000000004</v>
      </c>
      <c r="H135" s="15">
        <v>26</v>
      </c>
      <c r="I135" s="17" t="s">
        <v>20</v>
      </c>
      <c r="J135" s="18" t="s">
        <v>16</v>
      </c>
      <c r="K135">
        <v>1141</v>
      </c>
      <c r="L135">
        <v>237.77709132514747</v>
      </c>
      <c r="M135">
        <v>239.19436690492424</v>
      </c>
      <c r="N135">
        <f t="shared" si="22"/>
        <v>0</v>
      </c>
      <c r="O135">
        <f t="shared" si="23"/>
        <v>1</v>
      </c>
      <c r="P135">
        <f t="shared" si="24"/>
        <v>0</v>
      </c>
      <c r="Q135">
        <f t="shared" si="25"/>
        <v>1</v>
      </c>
      <c r="R135">
        <f t="shared" si="26"/>
        <v>0</v>
      </c>
      <c r="S135">
        <v>1</v>
      </c>
      <c r="T135">
        <f t="shared" si="27"/>
        <v>-2.193073749798804</v>
      </c>
      <c r="U135">
        <v>-2.8579643265907406</v>
      </c>
      <c r="V135">
        <f t="shared" si="28"/>
        <v>-0.66489057679193664</v>
      </c>
    </row>
    <row r="136" spans="1:22" x14ac:dyDescent="0.2">
      <c r="A136">
        <f t="shared" si="29"/>
        <v>135</v>
      </c>
      <c r="B136" s="2">
        <f t="shared" si="30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6">
        <v>3.6</v>
      </c>
      <c r="H136" s="5">
        <v>10</v>
      </c>
      <c r="I136" s="7" t="s">
        <v>20</v>
      </c>
      <c r="J136" s="8" t="s">
        <v>13</v>
      </c>
      <c r="K136">
        <v>290</v>
      </c>
      <c r="L136">
        <v>191.64887216059438</v>
      </c>
      <c r="M136">
        <v>191.90958860991768</v>
      </c>
      <c r="N136">
        <f t="shared" si="22"/>
        <v>0</v>
      </c>
      <c r="O136">
        <f t="shared" si="23"/>
        <v>1</v>
      </c>
      <c r="P136">
        <f t="shared" si="24"/>
        <v>0</v>
      </c>
      <c r="Q136">
        <f t="shared" si="25"/>
        <v>1</v>
      </c>
      <c r="R136">
        <f t="shared" si="26"/>
        <v>0</v>
      </c>
      <c r="S136">
        <v>0</v>
      </c>
      <c r="T136">
        <f t="shared" si="27"/>
        <v>-2.780328058681369</v>
      </c>
      <c r="U136">
        <v>-2.6194036992309093</v>
      </c>
      <c r="V136">
        <f t="shared" si="28"/>
        <v>0.16092435945045969</v>
      </c>
    </row>
    <row r="137" spans="1:22" x14ac:dyDescent="0.2">
      <c r="A137">
        <f t="shared" si="29"/>
        <v>136</v>
      </c>
      <c r="B137" s="2">
        <f t="shared" si="30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6">
        <v>3.6</v>
      </c>
      <c r="H137" s="5">
        <v>10</v>
      </c>
      <c r="I137" s="7" t="s">
        <v>20</v>
      </c>
      <c r="J137" s="8" t="s">
        <v>16</v>
      </c>
      <c r="K137">
        <v>1141</v>
      </c>
      <c r="L137">
        <v>49.632687466105466</v>
      </c>
      <c r="M137">
        <v>50.63006680923997</v>
      </c>
      <c r="N137">
        <f t="shared" si="22"/>
        <v>0</v>
      </c>
      <c r="O137">
        <f t="shared" si="23"/>
        <v>1</v>
      </c>
      <c r="P137">
        <f t="shared" si="24"/>
        <v>0</v>
      </c>
      <c r="Q137">
        <f t="shared" si="25"/>
        <v>1</v>
      </c>
      <c r="R137">
        <f t="shared" si="26"/>
        <v>0</v>
      </c>
      <c r="S137">
        <v>1</v>
      </c>
      <c r="T137">
        <f t="shared" si="27"/>
        <v>-2.3462260156961361</v>
      </c>
      <c r="U137">
        <v>-2.6194036992309093</v>
      </c>
      <c r="V137">
        <f t="shared" si="28"/>
        <v>-0.27317768353477323</v>
      </c>
    </row>
    <row r="138" spans="1:22" x14ac:dyDescent="0.2">
      <c r="A138">
        <f t="shared" si="29"/>
        <v>137</v>
      </c>
      <c r="B138" s="2">
        <f t="shared" si="30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6">
        <v>3.8</v>
      </c>
      <c r="H138" s="5">
        <v>12</v>
      </c>
      <c r="I138" s="7" t="s">
        <v>20</v>
      </c>
      <c r="J138" s="8" t="s">
        <v>13</v>
      </c>
      <c r="K138">
        <v>290</v>
      </c>
      <c r="L138">
        <v>231.58708017250825</v>
      </c>
      <c r="M138">
        <v>231.89776993931565</v>
      </c>
      <c r="N138">
        <f t="shared" si="22"/>
        <v>0</v>
      </c>
      <c r="O138">
        <f t="shared" si="23"/>
        <v>1</v>
      </c>
      <c r="P138">
        <f t="shared" si="24"/>
        <v>0</v>
      </c>
      <c r="Q138">
        <f t="shared" si="25"/>
        <v>1</v>
      </c>
      <c r="R138">
        <f t="shared" si="26"/>
        <v>0</v>
      </c>
      <c r="S138">
        <v>1</v>
      </c>
      <c r="T138">
        <f t="shared" si="27"/>
        <v>-2.5992843148580036</v>
      </c>
      <c r="U138">
        <v>-2.70744932875875</v>
      </c>
      <c r="V138">
        <f t="shared" si="28"/>
        <v>-0.1081650139007464</v>
      </c>
    </row>
    <row r="139" spans="1:22" x14ac:dyDescent="0.2">
      <c r="A139">
        <f t="shared" si="29"/>
        <v>138</v>
      </c>
      <c r="B139" s="2">
        <f t="shared" si="30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6">
        <v>3.8</v>
      </c>
      <c r="H139" s="5">
        <v>12</v>
      </c>
      <c r="I139" s="7" t="s">
        <v>20</v>
      </c>
      <c r="J139" s="8" t="s">
        <v>14</v>
      </c>
      <c r="K139">
        <v>210</v>
      </c>
      <c r="L139">
        <v>23.286409728284827</v>
      </c>
      <c r="M139">
        <v>26.196505072882495</v>
      </c>
      <c r="N139">
        <f t="shared" si="22"/>
        <v>0</v>
      </c>
      <c r="O139">
        <f t="shared" si="23"/>
        <v>1</v>
      </c>
      <c r="P139">
        <f t="shared" si="24"/>
        <v>0</v>
      </c>
      <c r="Q139">
        <f t="shared" si="25"/>
        <v>1</v>
      </c>
      <c r="R139">
        <f t="shared" si="26"/>
        <v>0</v>
      </c>
      <c r="S139">
        <v>0</v>
      </c>
      <c r="T139">
        <f t="shared" si="27"/>
        <v>-1.0933753799947656</v>
      </c>
      <c r="U139">
        <v>-2.1968546792237809</v>
      </c>
      <c r="V139">
        <f t="shared" si="28"/>
        <v>-1.1034792992290152</v>
      </c>
    </row>
    <row r="140" spans="1:22" x14ac:dyDescent="0.2">
      <c r="A140">
        <f t="shared" si="29"/>
        <v>139</v>
      </c>
      <c r="B140" s="2">
        <f t="shared" si="30"/>
        <v>72</v>
      </c>
      <c r="C140" s="33">
        <v>43892</v>
      </c>
      <c r="D140" s="4">
        <v>0.968287037037037</v>
      </c>
      <c r="E140" s="5">
        <v>-8.4</v>
      </c>
      <c r="F140" s="5">
        <v>116.23</v>
      </c>
      <c r="G140" s="6">
        <v>3.8</v>
      </c>
      <c r="H140" s="5">
        <v>12</v>
      </c>
      <c r="I140" s="2" t="s">
        <v>20</v>
      </c>
      <c r="J140" s="8" t="s">
        <v>15</v>
      </c>
      <c r="K140">
        <v>770</v>
      </c>
      <c r="L140">
        <v>41.034935023077367</v>
      </c>
      <c r="M140">
        <v>42.753548301260111</v>
      </c>
      <c r="N140">
        <f t="shared" si="22"/>
        <v>0</v>
      </c>
      <c r="O140">
        <f t="shared" si="23"/>
        <v>1</v>
      </c>
      <c r="P140">
        <f t="shared" si="24"/>
        <v>0</v>
      </c>
      <c r="Q140">
        <f t="shared" si="25"/>
        <v>1</v>
      </c>
      <c r="R140">
        <f t="shared" si="26"/>
        <v>0</v>
      </c>
      <c r="S140">
        <v>0</v>
      </c>
      <c r="T140">
        <f t="shared" si="27"/>
        <v>-1.8245920688247461</v>
      </c>
      <c r="U140">
        <v>-3.0084793244227312</v>
      </c>
      <c r="V140">
        <f t="shared" si="28"/>
        <v>-1.1838872555979851</v>
      </c>
    </row>
    <row r="141" spans="1:22" x14ac:dyDescent="0.2">
      <c r="A141">
        <f t="shared" si="29"/>
        <v>140</v>
      </c>
      <c r="B141" s="2">
        <f t="shared" si="30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6">
        <v>3.8</v>
      </c>
      <c r="H141" s="5">
        <v>12</v>
      </c>
      <c r="I141" s="7" t="s">
        <v>20</v>
      </c>
      <c r="J141" s="8" t="s">
        <v>18</v>
      </c>
      <c r="K141">
        <v>283</v>
      </c>
      <c r="L141">
        <v>131.79443249974477</v>
      </c>
      <c r="M141">
        <v>132.33961023793964</v>
      </c>
      <c r="N141">
        <f t="shared" si="22"/>
        <v>0</v>
      </c>
      <c r="O141">
        <f t="shared" si="23"/>
        <v>1</v>
      </c>
      <c r="P141">
        <f t="shared" si="24"/>
        <v>0</v>
      </c>
      <c r="Q141">
        <f t="shared" si="25"/>
        <v>1</v>
      </c>
      <c r="R141">
        <f t="shared" si="26"/>
        <v>0</v>
      </c>
      <c r="S141">
        <v>1</v>
      </c>
      <c r="T141">
        <f t="shared" si="27"/>
        <v>-2.2287746917089337</v>
      </c>
      <c r="U141">
        <v>-2.70744932875875</v>
      </c>
      <c r="V141">
        <f t="shared" si="28"/>
        <v>-0.47867463704981628</v>
      </c>
    </row>
    <row r="142" spans="1:22" x14ac:dyDescent="0.2">
      <c r="A142">
        <f t="shared" si="29"/>
        <v>141</v>
      </c>
      <c r="B142" s="2">
        <f t="shared" si="30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6">
        <v>3.8</v>
      </c>
      <c r="H142" s="5">
        <v>12</v>
      </c>
      <c r="I142" s="7" t="s">
        <v>20</v>
      </c>
      <c r="J142" s="8" t="s">
        <v>16</v>
      </c>
      <c r="K142">
        <v>1141</v>
      </c>
      <c r="L142">
        <v>81.597304805416869</v>
      </c>
      <c r="M142">
        <v>82.474966817259812</v>
      </c>
      <c r="N142">
        <f t="shared" si="22"/>
        <v>0</v>
      </c>
      <c r="O142">
        <f t="shared" si="23"/>
        <v>1</v>
      </c>
      <c r="P142">
        <f t="shared" si="24"/>
        <v>0</v>
      </c>
      <c r="Q142">
        <f t="shared" si="25"/>
        <v>1</v>
      </c>
      <c r="R142">
        <f t="shared" si="26"/>
        <v>0</v>
      </c>
      <c r="S142">
        <v>1</v>
      </c>
      <c r="T142">
        <f t="shared" si="27"/>
        <v>-2.3742266113265078</v>
      </c>
      <c r="U142">
        <v>-3.0084793244227312</v>
      </c>
      <c r="V142">
        <f t="shared" si="28"/>
        <v>-0.63425271309622344</v>
      </c>
    </row>
    <row r="143" spans="1:22" x14ac:dyDescent="0.2">
      <c r="A143">
        <f t="shared" si="29"/>
        <v>142</v>
      </c>
      <c r="B143" s="2">
        <f t="shared" si="30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6">
        <v>4.2</v>
      </c>
      <c r="H143" s="5">
        <v>16</v>
      </c>
      <c r="I143" s="7" t="s">
        <v>20</v>
      </c>
      <c r="J143" s="8" t="s">
        <v>13</v>
      </c>
      <c r="K143">
        <v>290</v>
      </c>
      <c r="L143">
        <v>236.87368372963641</v>
      </c>
      <c r="M143">
        <v>237.41344116045286</v>
      </c>
      <c r="N143">
        <f t="shared" si="22"/>
        <v>0</v>
      </c>
      <c r="O143">
        <f t="shared" si="23"/>
        <v>1</v>
      </c>
      <c r="P143">
        <f t="shared" si="24"/>
        <v>0</v>
      </c>
      <c r="Q143">
        <f t="shared" si="25"/>
        <v>1</v>
      </c>
      <c r="R143">
        <f t="shared" si="26"/>
        <v>0</v>
      </c>
      <c r="S143">
        <v>1</v>
      </c>
      <c r="T143">
        <f t="shared" si="27"/>
        <v>-2.0269712853076065</v>
      </c>
      <c r="U143">
        <v>-2.4064193330947687</v>
      </c>
      <c r="V143">
        <f t="shared" si="28"/>
        <v>-0.37944804778716223</v>
      </c>
    </row>
    <row r="144" spans="1:22" x14ac:dyDescent="0.2">
      <c r="A144">
        <f t="shared" si="29"/>
        <v>143</v>
      </c>
      <c r="B144" s="2">
        <f t="shared" si="30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6">
        <v>4.2</v>
      </c>
      <c r="H144" s="5">
        <v>16</v>
      </c>
      <c r="I144" s="7" t="s">
        <v>20</v>
      </c>
      <c r="J144" s="8" t="s">
        <v>18</v>
      </c>
      <c r="K144">
        <v>283</v>
      </c>
      <c r="L144">
        <v>138.25826990140519</v>
      </c>
      <c r="M144">
        <v>139.18099437829076</v>
      </c>
      <c r="N144">
        <f t="shared" si="22"/>
        <v>0</v>
      </c>
      <c r="O144">
        <f t="shared" si="23"/>
        <v>1</v>
      </c>
      <c r="P144">
        <f t="shared" si="24"/>
        <v>0</v>
      </c>
      <c r="Q144">
        <f t="shared" si="25"/>
        <v>1</v>
      </c>
      <c r="R144">
        <f t="shared" si="26"/>
        <v>0</v>
      </c>
      <c r="S144">
        <v>1</v>
      </c>
      <c r="T144">
        <f t="shared" si="27"/>
        <v>-1.6877519210789347</v>
      </c>
      <c r="U144">
        <v>-2.2849003087516215</v>
      </c>
      <c r="V144">
        <f t="shared" si="28"/>
        <v>-0.59714838767268685</v>
      </c>
    </row>
    <row r="145" spans="1:22" x14ac:dyDescent="0.2">
      <c r="A145">
        <f t="shared" si="29"/>
        <v>144</v>
      </c>
      <c r="B145" s="2">
        <f t="shared" si="30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6">
        <v>4.8</v>
      </c>
      <c r="H145" s="5">
        <v>10</v>
      </c>
      <c r="I145" s="7" t="s">
        <v>20</v>
      </c>
      <c r="J145" s="8" t="s">
        <v>13</v>
      </c>
      <c r="K145">
        <v>290</v>
      </c>
      <c r="L145">
        <v>160.37359502632646</v>
      </c>
      <c r="M145">
        <v>160.68506458805734</v>
      </c>
      <c r="N145">
        <f t="shared" si="22"/>
        <v>0</v>
      </c>
      <c r="O145">
        <f t="shared" si="23"/>
        <v>1</v>
      </c>
      <c r="P145">
        <f t="shared" si="24"/>
        <v>0</v>
      </c>
      <c r="Q145">
        <f t="shared" si="25"/>
        <v>1</v>
      </c>
      <c r="R145">
        <f t="shared" si="26"/>
        <v>0</v>
      </c>
      <c r="S145">
        <v>0</v>
      </c>
      <c r="T145">
        <f t="shared" si="27"/>
        <v>-0.9809784286758243</v>
      </c>
      <c r="U145">
        <v>-1.2743056592166526</v>
      </c>
      <c r="V145">
        <f t="shared" si="28"/>
        <v>-0.29332723054082832</v>
      </c>
    </row>
    <row r="146" spans="1:22" x14ac:dyDescent="0.2">
      <c r="A146">
        <f t="shared" si="29"/>
        <v>145</v>
      </c>
      <c r="B146" s="2">
        <f t="shared" si="30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6">
        <v>3.5</v>
      </c>
      <c r="H146" s="5">
        <v>10</v>
      </c>
      <c r="I146" s="7" t="s">
        <v>20</v>
      </c>
      <c r="J146" s="8" t="s">
        <v>13</v>
      </c>
      <c r="K146">
        <v>290</v>
      </c>
      <c r="L146">
        <v>92.159817959932795</v>
      </c>
      <c r="M146">
        <v>92.700766158689063</v>
      </c>
      <c r="N146">
        <f t="shared" si="22"/>
        <v>0</v>
      </c>
      <c r="O146">
        <f t="shared" si="23"/>
        <v>1</v>
      </c>
      <c r="P146">
        <f t="shared" si="24"/>
        <v>0</v>
      </c>
      <c r="Q146">
        <f t="shared" si="25"/>
        <v>1</v>
      </c>
      <c r="R146">
        <f t="shared" si="26"/>
        <v>0</v>
      </c>
      <c r="S146">
        <v>0</v>
      </c>
      <c r="T146">
        <f t="shared" si="27"/>
        <v>-2.4507997403357598</v>
      </c>
      <c r="U146">
        <v>-2.4688887013989187</v>
      </c>
      <c r="V146">
        <f t="shared" si="28"/>
        <v>-1.8088961063158937E-2</v>
      </c>
    </row>
    <row r="147" spans="1:22" x14ac:dyDescent="0.2">
      <c r="A147">
        <f t="shared" si="29"/>
        <v>146</v>
      </c>
      <c r="B147" s="2">
        <f t="shared" si="30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6">
        <v>3.5</v>
      </c>
      <c r="H147" s="5">
        <v>10</v>
      </c>
      <c r="I147" s="7" t="s">
        <v>20</v>
      </c>
      <c r="J147" s="8" t="s">
        <v>16</v>
      </c>
      <c r="K147">
        <v>1141</v>
      </c>
      <c r="L147">
        <v>85.711155793911104</v>
      </c>
      <c r="M147">
        <v>86.292538655019882</v>
      </c>
      <c r="N147">
        <f t="shared" si="22"/>
        <v>0</v>
      </c>
      <c r="O147">
        <f t="shared" si="23"/>
        <v>1</v>
      </c>
      <c r="P147">
        <f t="shared" si="24"/>
        <v>0</v>
      </c>
      <c r="Q147">
        <f t="shared" si="25"/>
        <v>1</v>
      </c>
      <c r="R147">
        <f t="shared" si="26"/>
        <v>0</v>
      </c>
      <c r="S147">
        <v>0</v>
      </c>
      <c r="T147">
        <f t="shared" si="27"/>
        <v>-2.8460524736742592</v>
      </c>
      <c r="U147">
        <v>-3.0084793244227312</v>
      </c>
      <c r="V147">
        <f t="shared" si="28"/>
        <v>-0.16242685074847207</v>
      </c>
    </row>
    <row r="148" spans="1:22" x14ac:dyDescent="0.2">
      <c r="A148">
        <f t="shared" si="29"/>
        <v>147</v>
      </c>
      <c r="B148" s="2">
        <f t="shared" si="30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6">
        <v>4.2</v>
      </c>
      <c r="H148" s="5">
        <v>10</v>
      </c>
      <c r="I148" s="7" t="s">
        <v>20</v>
      </c>
      <c r="J148" s="8" t="s">
        <v>13</v>
      </c>
      <c r="K148">
        <v>290</v>
      </c>
      <c r="L148">
        <v>190.05302625038044</v>
      </c>
      <c r="M148">
        <v>190.31592888386353</v>
      </c>
      <c r="N148">
        <f t="shared" si="22"/>
        <v>0</v>
      </c>
      <c r="O148">
        <f t="shared" si="23"/>
        <v>1</v>
      </c>
      <c r="P148">
        <f t="shared" si="24"/>
        <v>0</v>
      </c>
      <c r="Q148">
        <f t="shared" si="25"/>
        <v>1</v>
      </c>
      <c r="R148">
        <f t="shared" si="26"/>
        <v>0</v>
      </c>
      <c r="S148">
        <v>0</v>
      </c>
      <c r="T148">
        <f t="shared" si="27"/>
        <v>-1.8897607914564751</v>
      </c>
      <c r="U148">
        <v>-2.4688887013989187</v>
      </c>
      <c r="V148">
        <f t="shared" si="28"/>
        <v>-0.57912790994244356</v>
      </c>
    </row>
    <row r="149" spans="1:22" x14ac:dyDescent="0.2">
      <c r="A149">
        <f t="shared" si="29"/>
        <v>148</v>
      </c>
      <c r="B149" s="2">
        <f t="shared" si="30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6">
        <v>4.2</v>
      </c>
      <c r="H149" s="5">
        <v>10</v>
      </c>
      <c r="I149" s="7" t="s">
        <v>20</v>
      </c>
      <c r="J149" s="8" t="s">
        <v>16</v>
      </c>
      <c r="K149">
        <v>1141</v>
      </c>
      <c r="L149">
        <v>61.54635269622478</v>
      </c>
      <c r="M149">
        <v>62.353456441548573</v>
      </c>
      <c r="N149">
        <f t="shared" si="22"/>
        <v>0</v>
      </c>
      <c r="O149">
        <f t="shared" si="23"/>
        <v>1</v>
      </c>
      <c r="P149">
        <f t="shared" si="24"/>
        <v>0</v>
      </c>
      <c r="Q149">
        <f t="shared" si="25"/>
        <v>1</v>
      </c>
      <c r="R149">
        <f t="shared" si="26"/>
        <v>0</v>
      </c>
      <c r="S149">
        <v>0</v>
      </c>
      <c r="T149">
        <f t="shared" si="27"/>
        <v>-1.6413090386427427</v>
      </c>
      <c r="U149">
        <v>-2.0859303044156028</v>
      </c>
      <c r="V149">
        <f t="shared" si="28"/>
        <v>-0.4446212657728601</v>
      </c>
    </row>
    <row r="150" spans="1:22" x14ac:dyDescent="0.2">
      <c r="A150">
        <f t="shared" si="29"/>
        <v>149</v>
      </c>
      <c r="B150" s="2">
        <f t="shared" si="30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6">
        <v>3.9</v>
      </c>
      <c r="H150" s="5">
        <v>10</v>
      </c>
      <c r="I150" s="7" t="s">
        <v>20</v>
      </c>
      <c r="J150" s="8" t="s">
        <v>13</v>
      </c>
      <c r="K150">
        <v>290</v>
      </c>
      <c r="L150">
        <v>107.68058281077444</v>
      </c>
      <c r="M150">
        <v>108.14392222620766</v>
      </c>
      <c r="N150">
        <f t="shared" si="22"/>
        <v>0</v>
      </c>
      <c r="O150">
        <f t="shared" si="23"/>
        <v>1</v>
      </c>
      <c r="P150">
        <f t="shared" si="24"/>
        <v>0</v>
      </c>
      <c r="Q150">
        <f t="shared" si="25"/>
        <v>1</v>
      </c>
      <c r="R150">
        <f t="shared" si="26"/>
        <v>0</v>
      </c>
      <c r="S150">
        <v>0</v>
      </c>
      <c r="T150">
        <f t="shared" si="27"/>
        <v>-1.9613780406941828</v>
      </c>
      <c r="U150">
        <v>-2.2699186970628999</v>
      </c>
      <c r="V150">
        <f t="shared" si="28"/>
        <v>-0.30854065636871719</v>
      </c>
    </row>
    <row r="151" spans="1:22" x14ac:dyDescent="0.2">
      <c r="A151" s="11">
        <f t="shared" si="29"/>
        <v>150</v>
      </c>
      <c r="B151" s="12">
        <f t="shared" si="30"/>
        <v>78</v>
      </c>
      <c r="C151" s="13">
        <v>44176</v>
      </c>
      <c r="D151" s="14">
        <v>0.53548611111182254</v>
      </c>
      <c r="E151" s="15">
        <v>-8.27</v>
      </c>
      <c r="F151" s="15">
        <v>116.53</v>
      </c>
      <c r="G151" s="16">
        <v>3.9</v>
      </c>
      <c r="H151" s="15">
        <v>11</v>
      </c>
      <c r="I151" s="17" t="s">
        <v>20</v>
      </c>
      <c r="J151" s="18" t="s">
        <v>13</v>
      </c>
      <c r="K151">
        <v>290</v>
      </c>
      <c r="L151">
        <v>199.64956279833908</v>
      </c>
      <c r="M151">
        <v>199.95236414098218</v>
      </c>
      <c r="N151">
        <f t="shared" si="22"/>
        <v>0</v>
      </c>
      <c r="O151">
        <f t="shared" si="23"/>
        <v>1</v>
      </c>
      <c r="P151">
        <f t="shared" si="24"/>
        <v>0</v>
      </c>
      <c r="Q151">
        <f t="shared" si="25"/>
        <v>1</v>
      </c>
      <c r="R151">
        <f t="shared" si="26"/>
        <v>0</v>
      </c>
      <c r="S151">
        <v>0</v>
      </c>
      <c r="T151">
        <f t="shared" si="27"/>
        <v>-2.354575049629513</v>
      </c>
      <c r="U151">
        <v>-2.70744932875875</v>
      </c>
      <c r="V151">
        <f t="shared" si="28"/>
        <v>-0.35287427912923697</v>
      </c>
    </row>
    <row r="152" spans="1:22" x14ac:dyDescent="0.2">
      <c r="A152">
        <f t="shared" si="29"/>
        <v>151</v>
      </c>
      <c r="B152" s="2">
        <f t="shared" si="30"/>
        <v>79</v>
      </c>
      <c r="C152" s="34">
        <v>44274</v>
      </c>
      <c r="D152" s="35">
        <v>0.68978009259444661</v>
      </c>
      <c r="E152" s="36">
        <v>-7.83</v>
      </c>
      <c r="F152" s="36">
        <v>118.78</v>
      </c>
      <c r="G152" s="6">
        <v>4.5</v>
      </c>
      <c r="H152" s="36">
        <v>26</v>
      </c>
      <c r="I152" s="7" t="s">
        <v>20</v>
      </c>
      <c r="J152" s="8" t="s">
        <v>12</v>
      </c>
      <c r="K152">
        <v>386</v>
      </c>
      <c r="L152">
        <v>79.768739281944931</v>
      </c>
      <c r="M152">
        <v>83.899057006803744</v>
      </c>
      <c r="N152">
        <f t="shared" si="22"/>
        <v>0</v>
      </c>
      <c r="O152">
        <f t="shared" si="23"/>
        <v>1</v>
      </c>
      <c r="P152">
        <f t="shared" si="24"/>
        <v>0</v>
      </c>
      <c r="Q152">
        <f t="shared" si="25"/>
        <v>1</v>
      </c>
      <c r="R152">
        <f t="shared" si="26"/>
        <v>0</v>
      </c>
      <c r="S152">
        <v>0</v>
      </c>
      <c r="T152">
        <f t="shared" si="27"/>
        <v>-1.0759011830941771</v>
      </c>
      <c r="U152">
        <v>-1.6572640561999687</v>
      </c>
      <c r="V152">
        <f t="shared" si="28"/>
        <v>-0.5813628731057916</v>
      </c>
    </row>
    <row r="153" spans="1:22" x14ac:dyDescent="0.2">
      <c r="A153">
        <f t="shared" si="29"/>
        <v>152</v>
      </c>
      <c r="B153" s="2">
        <f t="shared" si="30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6">
        <v>4.5</v>
      </c>
      <c r="H153" s="5">
        <v>26</v>
      </c>
      <c r="I153" s="7" t="s">
        <v>20</v>
      </c>
      <c r="J153" s="8" t="s">
        <v>18</v>
      </c>
      <c r="K153">
        <v>283</v>
      </c>
      <c r="L153">
        <v>168.55202854350387</v>
      </c>
      <c r="M153">
        <v>170.54555498789802</v>
      </c>
      <c r="N153">
        <f t="shared" si="22"/>
        <v>0</v>
      </c>
      <c r="O153">
        <f t="shared" si="23"/>
        <v>1</v>
      </c>
      <c r="P153">
        <f t="shared" si="24"/>
        <v>0</v>
      </c>
      <c r="Q153">
        <f t="shared" si="25"/>
        <v>1</v>
      </c>
      <c r="R153">
        <f t="shared" si="26"/>
        <v>0</v>
      </c>
      <c r="S153">
        <v>1</v>
      </c>
      <c r="T153">
        <f t="shared" si="27"/>
        <v>-1.4014203364744366</v>
      </c>
      <c r="U153">
        <v>-2.1343853109196309</v>
      </c>
      <c r="V153">
        <f t="shared" si="28"/>
        <v>-0.73296497444519426</v>
      </c>
    </row>
    <row r="154" spans="1:22" x14ac:dyDescent="0.2">
      <c r="A154" s="11">
        <f t="shared" si="29"/>
        <v>153</v>
      </c>
      <c r="B154" s="12">
        <f t="shared" si="30"/>
        <v>79</v>
      </c>
      <c r="C154" s="13">
        <v>44274</v>
      </c>
      <c r="D154" s="14">
        <v>0.68978009259444661</v>
      </c>
      <c r="E154" s="15">
        <v>-7.83</v>
      </c>
      <c r="F154" s="15">
        <v>118.78</v>
      </c>
      <c r="G154" s="16">
        <v>4.5</v>
      </c>
      <c r="H154" s="15">
        <v>26</v>
      </c>
      <c r="I154" s="17" t="s">
        <v>20</v>
      </c>
      <c r="J154" s="18" t="s">
        <v>16</v>
      </c>
      <c r="K154">
        <v>1141</v>
      </c>
      <c r="L154">
        <v>233.7605677111687</v>
      </c>
      <c r="M154">
        <v>235.20204722035879</v>
      </c>
      <c r="N154">
        <f t="shared" si="22"/>
        <v>0</v>
      </c>
      <c r="O154">
        <f t="shared" si="23"/>
        <v>1</v>
      </c>
      <c r="P154">
        <f t="shared" si="24"/>
        <v>0</v>
      </c>
      <c r="Q154">
        <f t="shared" si="25"/>
        <v>1</v>
      </c>
      <c r="R154">
        <f t="shared" si="26"/>
        <v>0</v>
      </c>
      <c r="S154">
        <v>1</v>
      </c>
      <c r="T154">
        <f t="shared" si="27"/>
        <v>-2.0453633206701318</v>
      </c>
      <c r="U154">
        <v>-2.70744932875875</v>
      </c>
      <c r="V154">
        <f t="shared" si="28"/>
        <v>-0.66208600808861817</v>
      </c>
    </row>
    <row r="155" spans="1:22" x14ac:dyDescent="0.2">
      <c r="A155">
        <f t="shared" si="29"/>
        <v>154</v>
      </c>
      <c r="B155" s="2">
        <f t="shared" si="30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6">
        <v>3.5</v>
      </c>
      <c r="H155" s="5">
        <v>10</v>
      </c>
      <c r="I155" s="7" t="s">
        <v>20</v>
      </c>
      <c r="J155" s="8" t="s">
        <v>13</v>
      </c>
      <c r="K155">
        <v>290</v>
      </c>
      <c r="L155">
        <v>103.32560484404641</v>
      </c>
      <c r="M155">
        <v>103.80838413340238</v>
      </c>
      <c r="N155">
        <f t="shared" si="22"/>
        <v>0</v>
      </c>
      <c r="O155">
        <f t="shared" si="23"/>
        <v>1</v>
      </c>
      <c r="P155">
        <f t="shared" si="24"/>
        <v>0</v>
      </c>
      <c r="Q155">
        <f t="shared" si="25"/>
        <v>1</v>
      </c>
      <c r="R155">
        <f t="shared" si="26"/>
        <v>0</v>
      </c>
      <c r="S155">
        <v>0</v>
      </c>
      <c r="T155">
        <f t="shared" si="27"/>
        <v>-2.5260665223563947</v>
      </c>
      <c r="U155">
        <v>-2.20744932875875</v>
      </c>
      <c r="V155">
        <f t="shared" si="28"/>
        <v>0.31861719359764473</v>
      </c>
    </row>
    <row r="156" spans="1:22" x14ac:dyDescent="0.2">
      <c r="A156" s="19">
        <f t="shared" si="29"/>
        <v>155</v>
      </c>
      <c r="B156" s="20">
        <f t="shared" si="30"/>
        <v>81</v>
      </c>
      <c r="C156" s="41">
        <v>43331</v>
      </c>
      <c r="D156" s="42">
        <v>0.62263425925925919</v>
      </c>
      <c r="E156" s="43">
        <v>-8.27</v>
      </c>
      <c r="F156" s="44">
        <v>116.67</v>
      </c>
      <c r="G156" s="45">
        <v>6.9</v>
      </c>
      <c r="H156" s="46">
        <v>22</v>
      </c>
      <c r="I156" s="47" t="s">
        <v>20</v>
      </c>
      <c r="J156" s="26" t="s">
        <v>16</v>
      </c>
      <c r="K156">
        <v>1141</v>
      </c>
      <c r="L156">
        <v>57.090874097075393</v>
      </c>
      <c r="M156">
        <v>61.183068778609936</v>
      </c>
      <c r="N156">
        <f t="shared" si="22"/>
        <v>0</v>
      </c>
      <c r="O156">
        <f t="shared" si="23"/>
        <v>1</v>
      </c>
      <c r="P156">
        <f t="shared" si="24"/>
        <v>0</v>
      </c>
      <c r="Q156">
        <f t="shared" si="25"/>
        <v>0</v>
      </c>
      <c r="R156">
        <f t="shared" si="26"/>
        <v>1</v>
      </c>
      <c r="S156">
        <v>0</v>
      </c>
      <c r="T156">
        <f t="shared" si="27"/>
        <v>1.1523161612371464</v>
      </c>
      <c r="U156">
        <v>1.0063920314818402</v>
      </c>
      <c r="V156">
        <f t="shared" si="28"/>
        <v>-0.14592412975530622</v>
      </c>
    </row>
    <row r="157" spans="1:22" x14ac:dyDescent="0.2">
      <c r="A157" s="19">
        <f t="shared" si="29"/>
        <v>156</v>
      </c>
      <c r="B157" s="20">
        <f t="shared" si="30"/>
        <v>81</v>
      </c>
      <c r="C157" s="41">
        <v>43331</v>
      </c>
      <c r="D157" s="42">
        <v>0.62263425925925919</v>
      </c>
      <c r="E157" s="43">
        <v>-8.27</v>
      </c>
      <c r="F157" s="44">
        <v>116.67</v>
      </c>
      <c r="G157" s="45">
        <v>6.9</v>
      </c>
      <c r="H157" s="46">
        <v>22</v>
      </c>
      <c r="I157" s="47" t="s">
        <v>20</v>
      </c>
      <c r="J157" s="26" t="s">
        <v>15</v>
      </c>
      <c r="K157">
        <v>770</v>
      </c>
      <c r="L157">
        <v>70.184466740784501</v>
      </c>
      <c r="M157">
        <v>73.551746217804279</v>
      </c>
      <c r="N157">
        <f t="shared" si="22"/>
        <v>0</v>
      </c>
      <c r="O157">
        <f t="shared" si="23"/>
        <v>1</v>
      </c>
      <c r="P157">
        <f t="shared" si="24"/>
        <v>0</v>
      </c>
      <c r="Q157">
        <f t="shared" si="25"/>
        <v>0</v>
      </c>
      <c r="R157">
        <f t="shared" si="26"/>
        <v>1</v>
      </c>
      <c r="S157">
        <v>1</v>
      </c>
      <c r="T157">
        <f t="shared" si="27"/>
        <v>1.1979430390897106</v>
      </c>
      <c r="U157">
        <v>0.22215787743631354</v>
      </c>
      <c r="V157">
        <f t="shared" si="28"/>
        <v>-0.97578516165339702</v>
      </c>
    </row>
    <row r="158" spans="1:22" x14ac:dyDescent="0.2">
      <c r="A158" s="19"/>
      <c r="B158" s="20"/>
      <c r="C158" s="41"/>
      <c r="D158" s="42"/>
      <c r="E158" s="43"/>
      <c r="F158" s="44"/>
      <c r="G158" s="45"/>
      <c r="H158" s="46"/>
      <c r="I158" s="47"/>
      <c r="J158" s="26"/>
    </row>
  </sheetData>
  <autoFilter ref="K1:K158" xr:uid="{869BF6E7-3645-B848-A5E9-496647D28287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PGA</vt:lpstr>
      <vt:lpstr>SA (0.3 s)</vt:lpstr>
      <vt:lpstr>SA (1.0 s)</vt:lpstr>
      <vt:lpstr>SA (3.0 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Rian Mahendra Taruna</cp:lastModifiedBy>
  <dcterms:created xsi:type="dcterms:W3CDTF">2025-02-03T12:23:39Z</dcterms:created>
  <dcterms:modified xsi:type="dcterms:W3CDTF">2025-03-10T04:08:43Z</dcterms:modified>
</cp:coreProperties>
</file>