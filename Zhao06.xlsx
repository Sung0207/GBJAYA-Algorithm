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anmt/kuliah/Rian-file/GMM NTB new/4_EnJAYA for GMPE Bindi and Zhao/Data/"/>
    </mc:Choice>
  </mc:AlternateContent>
  <xr:revisionPtr revIDLastSave="0" documentId="13_ncr:1_{5A0C3266-D3C5-7941-9E09-3DEBB56C6220}" xr6:coauthVersionLast="47" xr6:coauthVersionMax="47" xr10:uidLastSave="{00000000-0000-0000-0000-000000000000}"/>
  <bookViews>
    <workbookView xWindow="0" yWindow="500" windowWidth="25600" windowHeight="14260" activeTab="2" xr2:uid="{EA596716-64A1-6340-8941-F5D0D0771D33}"/>
  </bookViews>
  <sheets>
    <sheet name="PGA" sheetId="1" r:id="rId1"/>
    <sheet name="SA (0.3 s)" sheetId="5" r:id="rId2"/>
    <sheet name="SA (1.0 s)" sheetId="6" r:id="rId3"/>
    <sheet name="SA (3.0 s)" sheetId="7" r:id="rId4"/>
  </sheets>
  <definedNames>
    <definedName name="_xlnm._FilterDatabase" localSheetId="0" hidden="1">PGA!$K$1:$K$159</definedName>
    <definedName name="_xlnm._FilterDatabase" localSheetId="1" hidden="1">'SA (0.3 s)'!$K$1:$K$159</definedName>
    <definedName name="_xlnm._FilterDatabase" localSheetId="2" hidden="1">'SA (1.0 s)'!$M$1:$M$160</definedName>
    <definedName name="_xlnm._FilterDatabase" localSheetId="3" hidden="1">'SA (3.0 s)'!$K$1:$K$159</definedName>
    <definedName name="solver_adj" localSheetId="0" hidden="1">PGA!$W$2:$W$10</definedName>
    <definedName name="solver_adj" localSheetId="1" hidden="1">'SA (0.3 s)'!$W$2:$W$10</definedName>
    <definedName name="solver_adj" localSheetId="2" hidden="1">'SA (1.0 s)'!$W$2:$W$10</definedName>
    <definedName name="solver_adj" localSheetId="3" hidden="1">'SA (3.0 s)'!$W$2:$W$10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PGA!#REF!</definedName>
    <definedName name="solver_lhs1" localSheetId="1" hidden="1">'SA (0.3 s)'!#REF!</definedName>
    <definedName name="solver_lhs1" localSheetId="2" hidden="1">'SA (1.0 s)'!#REF!</definedName>
    <definedName name="solver_lhs1" localSheetId="3" hidden="1">'SA (3.0 s)'!#REF!</definedName>
    <definedName name="solver_lhs2" localSheetId="0" hidden="1">PGA!$W$3</definedName>
    <definedName name="solver_lhs2" localSheetId="1" hidden="1">'SA (0.3 s)'!$W$3</definedName>
    <definedName name="solver_lhs2" localSheetId="2" hidden="1">'SA (1.0 s)'!$W$3</definedName>
    <definedName name="solver_lhs2" localSheetId="3" hidden="1">'SA (3.0 s)'!$W$3</definedName>
    <definedName name="solver_lhs3" localSheetId="0" hidden="1">PGA!$W$4</definedName>
    <definedName name="solver_lhs3" localSheetId="1" hidden="1">'SA (0.3 s)'!$W$4</definedName>
    <definedName name="solver_lhs3" localSheetId="2" hidden="1">'SA (1.0 s)'!$W$4</definedName>
    <definedName name="solver_lhs3" localSheetId="3" hidden="1">'SA (3.0 s)'!$W$4</definedName>
    <definedName name="solver_lhs4" localSheetId="0" hidden="1">PGA!$W$5</definedName>
    <definedName name="solver_lhs4" localSheetId="1" hidden="1">'SA (0.3 s)'!$W$5</definedName>
    <definedName name="solver_lhs4" localSheetId="2" hidden="1">'SA (1.0 s)'!$W$5</definedName>
    <definedName name="solver_lhs4" localSheetId="3" hidden="1">'SA (3.0 s)'!$W$5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4</definedName>
    <definedName name="solver_num" localSheetId="1" hidden="1">4</definedName>
    <definedName name="solver_num" localSheetId="2" hidden="1">4</definedName>
    <definedName name="solver_num" localSheetId="3" hidden="1">4</definedName>
    <definedName name="solver_opt" localSheetId="0" hidden="1">PGA!$W$14</definedName>
    <definedName name="solver_opt" localSheetId="1" hidden="1">'SA (0.3 s)'!$W$14</definedName>
    <definedName name="solver_opt" localSheetId="2" hidden="1">'SA (1.0 s)'!$W$14</definedName>
    <definedName name="solver_opt" localSheetId="3" hidden="1">'SA (3.0 s)'!$W$14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3" localSheetId="0" hidden="1">3</definedName>
    <definedName name="solver_rel3" localSheetId="1" hidden="1">3</definedName>
    <definedName name="solver_rel3" localSheetId="2" hidden="1">3</definedName>
    <definedName name="solver_rel3" localSheetId="3" hidden="1">3</definedName>
    <definedName name="solver_rel4" localSheetId="0" hidden="1">3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hs1" localSheetId="0" hidden="1">0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2" localSheetId="0" hidden="1">0</definedName>
    <definedName name="solver_rhs2" localSheetId="1" hidden="1">0</definedName>
    <definedName name="solver_rhs2" localSheetId="2" hidden="1">0</definedName>
    <definedName name="solver_rhs2" localSheetId="3" hidden="1">0</definedName>
    <definedName name="solver_rhs3" localSheetId="0" hidden="1">0</definedName>
    <definedName name="solver_rhs3" localSheetId="1" hidden="1">0</definedName>
    <definedName name="solver_rhs3" localSheetId="2" hidden="1">0</definedName>
    <definedName name="solver_rhs3" localSheetId="3" hidden="1">0</definedName>
    <definedName name="solver_rhs4" localSheetId="0" hidden="1">0</definedName>
    <definedName name="solver_rhs4" localSheetId="1" hidden="1">0</definedName>
    <definedName name="solver_rhs4" localSheetId="2" hidden="1">0</definedName>
    <definedName name="solver_rhs4" localSheetId="3" hidden="1">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Q157" i="7"/>
  <c r="P157" i="7"/>
  <c r="O157" i="7"/>
  <c r="L157" i="7"/>
  <c r="P156" i="7"/>
  <c r="O156" i="7"/>
  <c r="L156" i="7"/>
  <c r="Q156" i="7" s="1"/>
  <c r="P155" i="7"/>
  <c r="O155" i="7"/>
  <c r="L155" i="7"/>
  <c r="Q155" i="7" s="1"/>
  <c r="P154" i="7"/>
  <c r="O154" i="7"/>
  <c r="L154" i="7"/>
  <c r="Q154" i="7" s="1"/>
  <c r="P153" i="7"/>
  <c r="O153" i="7"/>
  <c r="L153" i="7"/>
  <c r="Q153" i="7" s="1"/>
  <c r="P152" i="7"/>
  <c r="O152" i="7"/>
  <c r="L152" i="7"/>
  <c r="Q152" i="7" s="1"/>
  <c r="P151" i="7"/>
  <c r="O151" i="7"/>
  <c r="L151" i="7"/>
  <c r="Q151" i="7" s="1"/>
  <c r="P150" i="7"/>
  <c r="O150" i="7"/>
  <c r="L150" i="7"/>
  <c r="Q150" i="7" s="1"/>
  <c r="P149" i="7"/>
  <c r="O149" i="7"/>
  <c r="L149" i="7"/>
  <c r="Q149" i="7" s="1"/>
  <c r="P148" i="7"/>
  <c r="O148" i="7"/>
  <c r="L148" i="7"/>
  <c r="Q148" i="7" s="1"/>
  <c r="P147" i="7"/>
  <c r="O147" i="7"/>
  <c r="L147" i="7"/>
  <c r="Q147" i="7" s="1"/>
  <c r="P146" i="7"/>
  <c r="O146" i="7"/>
  <c r="L146" i="7"/>
  <c r="Q146" i="7" s="1"/>
  <c r="P145" i="7"/>
  <c r="O145" i="7"/>
  <c r="L145" i="7"/>
  <c r="Q145" i="7" s="1"/>
  <c r="P144" i="7"/>
  <c r="O144" i="7"/>
  <c r="L144" i="7"/>
  <c r="Q144" i="7" s="1"/>
  <c r="P143" i="7"/>
  <c r="O143" i="7"/>
  <c r="L143" i="7"/>
  <c r="Q143" i="7" s="1"/>
  <c r="P142" i="7"/>
  <c r="O142" i="7"/>
  <c r="L142" i="7"/>
  <c r="Q142" i="7" s="1"/>
  <c r="P141" i="7"/>
  <c r="O141" i="7"/>
  <c r="L141" i="7"/>
  <c r="Q141" i="7" s="1"/>
  <c r="P140" i="7"/>
  <c r="O140" i="7"/>
  <c r="L140" i="7"/>
  <c r="Q140" i="7" s="1"/>
  <c r="P139" i="7"/>
  <c r="O139" i="7"/>
  <c r="L139" i="7"/>
  <c r="Q139" i="7" s="1"/>
  <c r="P138" i="7"/>
  <c r="O138" i="7"/>
  <c r="L138" i="7"/>
  <c r="Q138" i="7" s="1"/>
  <c r="Q137" i="7"/>
  <c r="P137" i="7"/>
  <c r="O137" i="7"/>
  <c r="L137" i="7"/>
  <c r="P136" i="7"/>
  <c r="O136" i="7"/>
  <c r="L136" i="7"/>
  <c r="Q136" i="7" s="1"/>
  <c r="S136" i="7" s="1"/>
  <c r="U136" i="7" s="1"/>
  <c r="Q135" i="7"/>
  <c r="P135" i="7"/>
  <c r="O135" i="7"/>
  <c r="L135" i="7"/>
  <c r="P134" i="7"/>
  <c r="O134" i="7"/>
  <c r="L134" i="7"/>
  <c r="Q134" i="7" s="1"/>
  <c r="P133" i="7"/>
  <c r="O133" i="7"/>
  <c r="L133" i="7"/>
  <c r="Q133" i="7" s="1"/>
  <c r="P132" i="7"/>
  <c r="O132" i="7"/>
  <c r="L132" i="7"/>
  <c r="Q132" i="7" s="1"/>
  <c r="P131" i="7"/>
  <c r="O131" i="7"/>
  <c r="L131" i="7"/>
  <c r="Q131" i="7" s="1"/>
  <c r="P130" i="7"/>
  <c r="O130" i="7"/>
  <c r="L130" i="7"/>
  <c r="Q130" i="7" s="1"/>
  <c r="P129" i="7"/>
  <c r="O129" i="7"/>
  <c r="L129" i="7"/>
  <c r="Q129" i="7" s="1"/>
  <c r="S129" i="7" s="1"/>
  <c r="U129" i="7" s="1"/>
  <c r="Q128" i="7"/>
  <c r="P128" i="7"/>
  <c r="O128" i="7"/>
  <c r="L128" i="7"/>
  <c r="P127" i="7"/>
  <c r="O127" i="7"/>
  <c r="L127" i="7"/>
  <c r="Q127" i="7" s="1"/>
  <c r="P126" i="7"/>
  <c r="O126" i="7"/>
  <c r="L126" i="7"/>
  <c r="Q126" i="7" s="1"/>
  <c r="P125" i="7"/>
  <c r="O125" i="7"/>
  <c r="L125" i="7"/>
  <c r="Q125" i="7" s="1"/>
  <c r="P124" i="7"/>
  <c r="O124" i="7"/>
  <c r="L124" i="7"/>
  <c r="Q124" i="7" s="1"/>
  <c r="P123" i="7"/>
  <c r="O123" i="7"/>
  <c r="L123" i="7"/>
  <c r="Q123" i="7" s="1"/>
  <c r="P122" i="7"/>
  <c r="O122" i="7"/>
  <c r="L122" i="7"/>
  <c r="Q122" i="7" s="1"/>
  <c r="P121" i="7"/>
  <c r="O121" i="7"/>
  <c r="L121" i="7"/>
  <c r="Q121" i="7" s="1"/>
  <c r="S121" i="7" s="1"/>
  <c r="U121" i="7" s="1"/>
  <c r="P120" i="7"/>
  <c r="O120" i="7"/>
  <c r="L120" i="7"/>
  <c r="Q120" i="7" s="1"/>
  <c r="P119" i="7"/>
  <c r="O119" i="7"/>
  <c r="L119" i="7"/>
  <c r="Q119" i="7" s="1"/>
  <c r="P118" i="7"/>
  <c r="O118" i="7"/>
  <c r="L118" i="7"/>
  <c r="Q118" i="7" s="1"/>
  <c r="Q117" i="7"/>
  <c r="P117" i="7"/>
  <c r="O117" i="7"/>
  <c r="L117" i="7"/>
  <c r="P116" i="7"/>
  <c r="O116" i="7"/>
  <c r="L116" i="7"/>
  <c r="Q116" i="7" s="1"/>
  <c r="P115" i="7"/>
  <c r="O115" i="7"/>
  <c r="L115" i="7"/>
  <c r="Q115" i="7" s="1"/>
  <c r="P114" i="7"/>
  <c r="O114" i="7"/>
  <c r="L114" i="7"/>
  <c r="Q114" i="7" s="1"/>
  <c r="Q113" i="7"/>
  <c r="P113" i="7"/>
  <c r="O113" i="7"/>
  <c r="L113" i="7"/>
  <c r="P112" i="7"/>
  <c r="O112" i="7"/>
  <c r="L112" i="7"/>
  <c r="Q112" i="7" s="1"/>
  <c r="S112" i="7" s="1"/>
  <c r="U112" i="7" s="1"/>
  <c r="P111" i="7"/>
  <c r="O111" i="7"/>
  <c r="L111" i="7"/>
  <c r="Q111" i="7" s="1"/>
  <c r="P110" i="7"/>
  <c r="O110" i="7"/>
  <c r="L110" i="7"/>
  <c r="Q110" i="7" s="1"/>
  <c r="P109" i="7"/>
  <c r="O109" i="7"/>
  <c r="L109" i="7"/>
  <c r="Q109" i="7" s="1"/>
  <c r="P108" i="7"/>
  <c r="O108" i="7"/>
  <c r="L108" i="7"/>
  <c r="Q108" i="7" s="1"/>
  <c r="P107" i="7"/>
  <c r="O107" i="7"/>
  <c r="L107" i="7"/>
  <c r="Q107" i="7" s="1"/>
  <c r="P106" i="7"/>
  <c r="O106" i="7"/>
  <c r="L106" i="7"/>
  <c r="Q106" i="7" s="1"/>
  <c r="S106" i="7" s="1"/>
  <c r="U106" i="7" s="1"/>
  <c r="P105" i="7"/>
  <c r="O105" i="7"/>
  <c r="L105" i="7"/>
  <c r="Q105" i="7" s="1"/>
  <c r="S105" i="7" s="1"/>
  <c r="U105" i="7" s="1"/>
  <c r="Q104" i="7"/>
  <c r="P104" i="7"/>
  <c r="O104" i="7"/>
  <c r="L104" i="7"/>
  <c r="P103" i="7"/>
  <c r="O103" i="7"/>
  <c r="L103" i="7"/>
  <c r="Q103" i="7" s="1"/>
  <c r="P102" i="7"/>
  <c r="O102" i="7"/>
  <c r="L102" i="7"/>
  <c r="Q102" i="7" s="1"/>
  <c r="Q101" i="7"/>
  <c r="P101" i="7"/>
  <c r="O101" i="7"/>
  <c r="L101" i="7"/>
  <c r="P100" i="7"/>
  <c r="O100" i="7"/>
  <c r="L100" i="7"/>
  <c r="Q100" i="7" s="1"/>
  <c r="P99" i="7"/>
  <c r="O99" i="7"/>
  <c r="L99" i="7"/>
  <c r="Q99" i="7" s="1"/>
  <c r="P98" i="7"/>
  <c r="O98" i="7"/>
  <c r="L98" i="7"/>
  <c r="Q98" i="7" s="1"/>
  <c r="S98" i="7" s="1"/>
  <c r="U98" i="7" s="1"/>
  <c r="P97" i="7"/>
  <c r="O97" i="7"/>
  <c r="L97" i="7"/>
  <c r="Q97" i="7" s="1"/>
  <c r="S97" i="7" s="1"/>
  <c r="U97" i="7" s="1"/>
  <c r="P96" i="7"/>
  <c r="O96" i="7"/>
  <c r="L96" i="7"/>
  <c r="Q96" i="7" s="1"/>
  <c r="S96" i="7" s="1"/>
  <c r="U96" i="7" s="1"/>
  <c r="Q95" i="7"/>
  <c r="P95" i="7"/>
  <c r="O95" i="7"/>
  <c r="L95" i="7"/>
  <c r="P94" i="7"/>
  <c r="O94" i="7"/>
  <c r="L94" i="7"/>
  <c r="Q94" i="7" s="1"/>
  <c r="Q93" i="7"/>
  <c r="P93" i="7"/>
  <c r="O93" i="7"/>
  <c r="L93" i="7"/>
  <c r="P92" i="7"/>
  <c r="O92" i="7"/>
  <c r="L92" i="7"/>
  <c r="Q92" i="7" s="1"/>
  <c r="P91" i="7"/>
  <c r="O91" i="7"/>
  <c r="L91" i="7"/>
  <c r="Q91" i="7" s="1"/>
  <c r="P90" i="7"/>
  <c r="O90" i="7"/>
  <c r="L90" i="7"/>
  <c r="Q90" i="7" s="1"/>
  <c r="P89" i="7"/>
  <c r="O89" i="7"/>
  <c r="L89" i="7"/>
  <c r="Q89" i="7" s="1"/>
  <c r="S89" i="7" s="1"/>
  <c r="U89" i="7" s="1"/>
  <c r="P88" i="7"/>
  <c r="O88" i="7"/>
  <c r="L88" i="7"/>
  <c r="Q88" i="7" s="1"/>
  <c r="P87" i="7"/>
  <c r="O87" i="7"/>
  <c r="L87" i="7"/>
  <c r="Q87" i="7" s="1"/>
  <c r="P86" i="7"/>
  <c r="O86" i="7"/>
  <c r="L86" i="7"/>
  <c r="Q86" i="7" s="1"/>
  <c r="S86" i="7" s="1"/>
  <c r="U86" i="7" s="1"/>
  <c r="Q85" i="7"/>
  <c r="P85" i="7"/>
  <c r="O85" i="7"/>
  <c r="L85" i="7"/>
  <c r="P84" i="7"/>
  <c r="O84" i="7"/>
  <c r="L84" i="7"/>
  <c r="Q84" i="7" s="1"/>
  <c r="P83" i="7"/>
  <c r="O83" i="7"/>
  <c r="L83" i="7"/>
  <c r="Q83" i="7" s="1"/>
  <c r="P82" i="7"/>
  <c r="O82" i="7"/>
  <c r="L82" i="7"/>
  <c r="Q82" i="7" s="1"/>
  <c r="Q81" i="7"/>
  <c r="P81" i="7"/>
  <c r="O81" i="7"/>
  <c r="L81" i="7"/>
  <c r="P80" i="7"/>
  <c r="O80" i="7"/>
  <c r="L80" i="7"/>
  <c r="Q80" i="7" s="1"/>
  <c r="P79" i="7"/>
  <c r="O79" i="7"/>
  <c r="L79" i="7"/>
  <c r="Q79" i="7" s="1"/>
  <c r="P78" i="7"/>
  <c r="O78" i="7"/>
  <c r="L78" i="7"/>
  <c r="Q78" i="7" s="1"/>
  <c r="P77" i="7"/>
  <c r="O77" i="7"/>
  <c r="L77" i="7"/>
  <c r="Q77" i="7" s="1"/>
  <c r="P76" i="7"/>
  <c r="O76" i="7"/>
  <c r="L76" i="7"/>
  <c r="Q76" i="7" s="1"/>
  <c r="P75" i="7"/>
  <c r="O75" i="7"/>
  <c r="L75" i="7"/>
  <c r="Q75" i="7" s="1"/>
  <c r="P74" i="7"/>
  <c r="O74" i="7"/>
  <c r="L74" i="7"/>
  <c r="Q74" i="7" s="1"/>
  <c r="S74" i="7" s="1"/>
  <c r="U74" i="7" s="1"/>
  <c r="P73" i="7"/>
  <c r="O73" i="7"/>
  <c r="L73" i="7"/>
  <c r="Q73" i="7" s="1"/>
  <c r="P72" i="7"/>
  <c r="O72" i="7"/>
  <c r="L72" i="7"/>
  <c r="Q72" i="7" s="1"/>
  <c r="P71" i="7"/>
  <c r="O71" i="7"/>
  <c r="L71" i="7"/>
  <c r="Q71" i="7" s="1"/>
  <c r="P70" i="7"/>
  <c r="O70" i="7"/>
  <c r="L70" i="7"/>
  <c r="Q70" i="7" s="1"/>
  <c r="S70" i="7" s="1"/>
  <c r="U70" i="7" s="1"/>
  <c r="P69" i="7"/>
  <c r="O69" i="7"/>
  <c r="L69" i="7"/>
  <c r="Q69" i="7" s="1"/>
  <c r="S69" i="7" s="1"/>
  <c r="U69" i="7" s="1"/>
  <c r="P68" i="7"/>
  <c r="O68" i="7"/>
  <c r="L68" i="7"/>
  <c r="Q68" i="7" s="1"/>
  <c r="S68" i="7" s="1"/>
  <c r="U68" i="7" s="1"/>
  <c r="P67" i="7"/>
  <c r="O67" i="7"/>
  <c r="L67" i="7"/>
  <c r="Q67" i="7" s="1"/>
  <c r="P66" i="7"/>
  <c r="O66" i="7"/>
  <c r="L66" i="7"/>
  <c r="Q66" i="7" s="1"/>
  <c r="P65" i="7"/>
  <c r="O65" i="7"/>
  <c r="L65" i="7"/>
  <c r="Q65" i="7" s="1"/>
  <c r="P64" i="7"/>
  <c r="O64" i="7"/>
  <c r="L64" i="7"/>
  <c r="Q64" i="7" s="1"/>
  <c r="P63" i="7"/>
  <c r="O63" i="7"/>
  <c r="L63" i="7"/>
  <c r="Q63" i="7" s="1"/>
  <c r="S63" i="7" s="1"/>
  <c r="U63" i="7" s="1"/>
  <c r="P62" i="7"/>
  <c r="O62" i="7"/>
  <c r="L62" i="7"/>
  <c r="Q62" i="7" s="1"/>
  <c r="P61" i="7"/>
  <c r="O61" i="7"/>
  <c r="L61" i="7"/>
  <c r="Q61" i="7" s="1"/>
  <c r="S61" i="7" s="1"/>
  <c r="U61" i="7" s="1"/>
  <c r="P60" i="7"/>
  <c r="O60" i="7"/>
  <c r="L60" i="7"/>
  <c r="Q60" i="7" s="1"/>
  <c r="P59" i="7"/>
  <c r="O59" i="7"/>
  <c r="L59" i="7"/>
  <c r="Q59" i="7" s="1"/>
  <c r="P58" i="7"/>
  <c r="O58" i="7"/>
  <c r="L58" i="7"/>
  <c r="Q58" i="7" s="1"/>
  <c r="S58" i="7" s="1"/>
  <c r="U58" i="7" s="1"/>
  <c r="P57" i="7"/>
  <c r="O57" i="7"/>
  <c r="L57" i="7"/>
  <c r="Q57" i="7" s="1"/>
  <c r="P56" i="7"/>
  <c r="O56" i="7"/>
  <c r="L56" i="7"/>
  <c r="Q56" i="7" s="1"/>
  <c r="P55" i="7"/>
  <c r="O55" i="7"/>
  <c r="L55" i="7"/>
  <c r="Q55" i="7" s="1"/>
  <c r="P54" i="7"/>
  <c r="O54" i="7"/>
  <c r="L54" i="7"/>
  <c r="Q54" i="7" s="1"/>
  <c r="S54" i="7" s="1"/>
  <c r="U54" i="7" s="1"/>
  <c r="P53" i="7"/>
  <c r="O53" i="7"/>
  <c r="L53" i="7"/>
  <c r="Q53" i="7" s="1"/>
  <c r="S53" i="7" s="1"/>
  <c r="U53" i="7" s="1"/>
  <c r="P52" i="7"/>
  <c r="O52" i="7"/>
  <c r="L52" i="7"/>
  <c r="Q52" i="7" s="1"/>
  <c r="S52" i="7" s="1"/>
  <c r="U52" i="7" s="1"/>
  <c r="P51" i="7"/>
  <c r="O51" i="7"/>
  <c r="L51" i="7"/>
  <c r="Q51" i="7" s="1"/>
  <c r="P50" i="7"/>
  <c r="O50" i="7"/>
  <c r="L50" i="7"/>
  <c r="Q50" i="7" s="1"/>
  <c r="P49" i="7"/>
  <c r="O49" i="7"/>
  <c r="L49" i="7"/>
  <c r="Q49" i="7" s="1"/>
  <c r="P48" i="7"/>
  <c r="O48" i="7"/>
  <c r="L48" i="7"/>
  <c r="Q48" i="7" s="1"/>
  <c r="P47" i="7"/>
  <c r="O47" i="7"/>
  <c r="L47" i="7"/>
  <c r="Q47" i="7" s="1"/>
  <c r="S47" i="7" s="1"/>
  <c r="U47" i="7" s="1"/>
  <c r="P46" i="7"/>
  <c r="O46" i="7"/>
  <c r="L46" i="7"/>
  <c r="Q46" i="7" s="1"/>
  <c r="P45" i="7"/>
  <c r="O45" i="7"/>
  <c r="L45" i="7"/>
  <c r="Q45" i="7" s="1"/>
  <c r="S45" i="7" s="1"/>
  <c r="U45" i="7" s="1"/>
  <c r="P44" i="7"/>
  <c r="O44" i="7"/>
  <c r="L44" i="7"/>
  <c r="Q44" i="7" s="1"/>
  <c r="P43" i="7"/>
  <c r="O43" i="7"/>
  <c r="L43" i="7"/>
  <c r="Q43" i="7" s="1"/>
  <c r="P42" i="7"/>
  <c r="O42" i="7"/>
  <c r="L42" i="7"/>
  <c r="Q42" i="7" s="1"/>
  <c r="S42" i="7" s="1"/>
  <c r="U42" i="7" s="1"/>
  <c r="P41" i="7"/>
  <c r="O41" i="7"/>
  <c r="L41" i="7"/>
  <c r="Q41" i="7" s="1"/>
  <c r="P40" i="7"/>
  <c r="O40" i="7"/>
  <c r="L40" i="7"/>
  <c r="Q40" i="7" s="1"/>
  <c r="P39" i="7"/>
  <c r="O39" i="7"/>
  <c r="L39" i="7"/>
  <c r="Q39" i="7" s="1"/>
  <c r="P38" i="7"/>
  <c r="O38" i="7"/>
  <c r="L38" i="7"/>
  <c r="Q38" i="7" s="1"/>
  <c r="S38" i="7" s="1"/>
  <c r="U38" i="7" s="1"/>
  <c r="P37" i="7"/>
  <c r="O37" i="7"/>
  <c r="L37" i="7"/>
  <c r="Q37" i="7" s="1"/>
  <c r="S37" i="7" s="1"/>
  <c r="U37" i="7" s="1"/>
  <c r="P36" i="7"/>
  <c r="O36" i="7"/>
  <c r="L36" i="7"/>
  <c r="Q36" i="7" s="1"/>
  <c r="S36" i="7" s="1"/>
  <c r="U36" i="7" s="1"/>
  <c r="P35" i="7"/>
  <c r="O35" i="7"/>
  <c r="L35" i="7"/>
  <c r="Q35" i="7" s="1"/>
  <c r="P34" i="7"/>
  <c r="O34" i="7"/>
  <c r="L34" i="7"/>
  <c r="Q34" i="7" s="1"/>
  <c r="P33" i="7"/>
  <c r="O33" i="7"/>
  <c r="L33" i="7"/>
  <c r="Q33" i="7" s="1"/>
  <c r="P32" i="7"/>
  <c r="O32" i="7"/>
  <c r="L32" i="7"/>
  <c r="Q32" i="7" s="1"/>
  <c r="P31" i="7"/>
  <c r="O31" i="7"/>
  <c r="L31" i="7"/>
  <c r="Q31" i="7" s="1"/>
  <c r="S31" i="7" s="1"/>
  <c r="U31" i="7" s="1"/>
  <c r="P30" i="7"/>
  <c r="O30" i="7"/>
  <c r="L30" i="7"/>
  <c r="Q30" i="7" s="1"/>
  <c r="P29" i="7"/>
  <c r="O29" i="7"/>
  <c r="L29" i="7"/>
  <c r="Q29" i="7" s="1"/>
  <c r="S29" i="7" s="1"/>
  <c r="U29" i="7" s="1"/>
  <c r="P28" i="7"/>
  <c r="O28" i="7"/>
  <c r="L28" i="7"/>
  <c r="Q28" i="7" s="1"/>
  <c r="P27" i="7"/>
  <c r="O27" i="7"/>
  <c r="L27" i="7"/>
  <c r="Q27" i="7" s="1"/>
  <c r="P26" i="7"/>
  <c r="O26" i="7"/>
  <c r="L26" i="7"/>
  <c r="Q26" i="7" s="1"/>
  <c r="S26" i="7" s="1"/>
  <c r="U26" i="7" s="1"/>
  <c r="P25" i="7"/>
  <c r="O25" i="7"/>
  <c r="L25" i="7"/>
  <c r="Q25" i="7" s="1"/>
  <c r="P24" i="7"/>
  <c r="O24" i="7"/>
  <c r="L24" i="7"/>
  <c r="Q24" i="7" s="1"/>
  <c r="P23" i="7"/>
  <c r="O23" i="7"/>
  <c r="L23" i="7"/>
  <c r="Q23" i="7" s="1"/>
  <c r="P22" i="7"/>
  <c r="O22" i="7"/>
  <c r="L22" i="7"/>
  <c r="Q22" i="7" s="1"/>
  <c r="S22" i="7" s="1"/>
  <c r="U22" i="7" s="1"/>
  <c r="P21" i="7"/>
  <c r="O21" i="7"/>
  <c r="L21" i="7"/>
  <c r="Q21" i="7" s="1"/>
  <c r="P20" i="7"/>
  <c r="O20" i="7"/>
  <c r="L20" i="7"/>
  <c r="Q20" i="7" s="1"/>
  <c r="P19" i="7"/>
  <c r="O19" i="7"/>
  <c r="L19" i="7"/>
  <c r="Q19" i="7" s="1"/>
  <c r="P18" i="7"/>
  <c r="O18" i="7"/>
  <c r="L18" i="7"/>
  <c r="Q18" i="7" s="1"/>
  <c r="P17" i="7"/>
  <c r="O17" i="7"/>
  <c r="L17" i="7"/>
  <c r="Q17" i="7" s="1"/>
  <c r="P16" i="7"/>
  <c r="O16" i="7"/>
  <c r="L16" i="7"/>
  <c r="Q16" i="7" s="1"/>
  <c r="P15" i="7"/>
  <c r="O15" i="7"/>
  <c r="L15" i="7"/>
  <c r="Q15" i="7" s="1"/>
  <c r="S15" i="7" s="1"/>
  <c r="U15" i="7" s="1"/>
  <c r="P14" i="7"/>
  <c r="O14" i="7"/>
  <c r="L14" i="7"/>
  <c r="Q14" i="7" s="1"/>
  <c r="P13" i="7"/>
  <c r="O13" i="7"/>
  <c r="L13" i="7"/>
  <c r="Q13" i="7" s="1"/>
  <c r="P12" i="7"/>
  <c r="O12" i="7"/>
  <c r="L12" i="7"/>
  <c r="Q12" i="7" s="1"/>
  <c r="P11" i="7"/>
  <c r="O11" i="7"/>
  <c r="L11" i="7"/>
  <c r="Q11" i="7" s="1"/>
  <c r="P10" i="7"/>
  <c r="O10" i="7"/>
  <c r="L10" i="7"/>
  <c r="Q10" i="7" s="1"/>
  <c r="P9" i="7"/>
  <c r="O9" i="7"/>
  <c r="L9" i="7"/>
  <c r="Q9" i="7" s="1"/>
  <c r="P8" i="7"/>
  <c r="O8" i="7"/>
  <c r="L8" i="7"/>
  <c r="Q8" i="7" s="1"/>
  <c r="B8" i="7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P7" i="7"/>
  <c r="O7" i="7"/>
  <c r="L7" i="7"/>
  <c r="Q7" i="7" s="1"/>
  <c r="B7" i="7"/>
  <c r="P6" i="7"/>
  <c r="O6" i="7"/>
  <c r="L6" i="7"/>
  <c r="Q6" i="7" s="1"/>
  <c r="P5" i="7"/>
  <c r="O5" i="7"/>
  <c r="L5" i="7"/>
  <c r="Q5" i="7" s="1"/>
  <c r="P4" i="7"/>
  <c r="O4" i="7"/>
  <c r="L4" i="7"/>
  <c r="Q4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P3" i="7"/>
  <c r="O3" i="7"/>
  <c r="L3" i="7"/>
  <c r="Q3" i="7" s="1"/>
  <c r="S3" i="7" s="1"/>
  <c r="U3" i="7" s="1"/>
  <c r="A3" i="7"/>
  <c r="Q2" i="7"/>
  <c r="P2" i="7"/>
  <c r="S2" i="7" s="1"/>
  <c r="U2" i="7" s="1"/>
  <c r="O2" i="7"/>
  <c r="L2" i="7"/>
  <c r="P157" i="6"/>
  <c r="O157" i="6"/>
  <c r="L157" i="6"/>
  <c r="Q157" i="6" s="1"/>
  <c r="Q156" i="6"/>
  <c r="P156" i="6"/>
  <c r="O156" i="6"/>
  <c r="L156" i="6"/>
  <c r="P155" i="6"/>
  <c r="O155" i="6"/>
  <c r="L155" i="6"/>
  <c r="Q155" i="6" s="1"/>
  <c r="P154" i="6"/>
  <c r="O154" i="6"/>
  <c r="L154" i="6"/>
  <c r="Q154" i="6" s="1"/>
  <c r="P153" i="6"/>
  <c r="O153" i="6"/>
  <c r="L153" i="6"/>
  <c r="Q153" i="6" s="1"/>
  <c r="P152" i="6"/>
  <c r="O152" i="6"/>
  <c r="L152" i="6"/>
  <c r="Q152" i="6" s="1"/>
  <c r="P151" i="6"/>
  <c r="O151" i="6"/>
  <c r="L151" i="6"/>
  <c r="Q151" i="6" s="1"/>
  <c r="P150" i="6"/>
  <c r="O150" i="6"/>
  <c r="L150" i="6"/>
  <c r="Q150" i="6" s="1"/>
  <c r="P149" i="6"/>
  <c r="O149" i="6"/>
  <c r="L149" i="6"/>
  <c r="Q149" i="6" s="1"/>
  <c r="P148" i="6"/>
  <c r="O148" i="6"/>
  <c r="L148" i="6"/>
  <c r="Q148" i="6" s="1"/>
  <c r="P147" i="6"/>
  <c r="O147" i="6"/>
  <c r="L147" i="6"/>
  <c r="Q147" i="6" s="1"/>
  <c r="P146" i="6"/>
  <c r="O146" i="6"/>
  <c r="L146" i="6"/>
  <c r="Q146" i="6" s="1"/>
  <c r="P145" i="6"/>
  <c r="O145" i="6"/>
  <c r="L145" i="6"/>
  <c r="Q145" i="6" s="1"/>
  <c r="P144" i="6"/>
  <c r="O144" i="6"/>
  <c r="L144" i="6"/>
  <c r="Q144" i="6" s="1"/>
  <c r="P143" i="6"/>
  <c r="O143" i="6"/>
  <c r="L143" i="6"/>
  <c r="Q143" i="6" s="1"/>
  <c r="P142" i="6"/>
  <c r="O142" i="6"/>
  <c r="L142" i="6"/>
  <c r="Q142" i="6" s="1"/>
  <c r="P141" i="6"/>
  <c r="O141" i="6"/>
  <c r="L141" i="6"/>
  <c r="Q141" i="6" s="1"/>
  <c r="P140" i="6"/>
  <c r="O140" i="6"/>
  <c r="L140" i="6"/>
  <c r="Q140" i="6" s="1"/>
  <c r="P139" i="6"/>
  <c r="O139" i="6"/>
  <c r="L139" i="6"/>
  <c r="Q139" i="6" s="1"/>
  <c r="P138" i="6"/>
  <c r="O138" i="6"/>
  <c r="L138" i="6"/>
  <c r="Q138" i="6" s="1"/>
  <c r="P137" i="6"/>
  <c r="O137" i="6"/>
  <c r="L137" i="6"/>
  <c r="Q137" i="6" s="1"/>
  <c r="P136" i="6"/>
  <c r="O136" i="6"/>
  <c r="L136" i="6"/>
  <c r="Q136" i="6" s="1"/>
  <c r="P135" i="6"/>
  <c r="O135" i="6"/>
  <c r="L135" i="6"/>
  <c r="Q135" i="6" s="1"/>
  <c r="P134" i="6"/>
  <c r="O134" i="6"/>
  <c r="L134" i="6"/>
  <c r="Q134" i="6" s="1"/>
  <c r="P133" i="6"/>
  <c r="O133" i="6"/>
  <c r="L133" i="6"/>
  <c r="Q133" i="6" s="1"/>
  <c r="P132" i="6"/>
  <c r="O132" i="6"/>
  <c r="L132" i="6"/>
  <c r="Q132" i="6" s="1"/>
  <c r="P131" i="6"/>
  <c r="O131" i="6"/>
  <c r="L131" i="6"/>
  <c r="Q131" i="6" s="1"/>
  <c r="P130" i="6"/>
  <c r="O130" i="6"/>
  <c r="L130" i="6"/>
  <c r="Q130" i="6" s="1"/>
  <c r="P129" i="6"/>
  <c r="O129" i="6"/>
  <c r="L129" i="6"/>
  <c r="Q129" i="6" s="1"/>
  <c r="P128" i="6"/>
  <c r="O128" i="6"/>
  <c r="L128" i="6"/>
  <c r="Q128" i="6" s="1"/>
  <c r="P127" i="6"/>
  <c r="O127" i="6"/>
  <c r="L127" i="6"/>
  <c r="Q127" i="6" s="1"/>
  <c r="P126" i="6"/>
  <c r="O126" i="6"/>
  <c r="L126" i="6"/>
  <c r="Q126" i="6" s="1"/>
  <c r="P125" i="6"/>
  <c r="O125" i="6"/>
  <c r="L125" i="6"/>
  <c r="Q125" i="6" s="1"/>
  <c r="P124" i="6"/>
  <c r="O124" i="6"/>
  <c r="L124" i="6"/>
  <c r="Q124" i="6" s="1"/>
  <c r="P123" i="6"/>
  <c r="O123" i="6"/>
  <c r="L123" i="6"/>
  <c r="Q123" i="6" s="1"/>
  <c r="P122" i="6"/>
  <c r="O122" i="6"/>
  <c r="L122" i="6"/>
  <c r="Q122" i="6" s="1"/>
  <c r="P121" i="6"/>
  <c r="O121" i="6"/>
  <c r="L121" i="6"/>
  <c r="Q121" i="6" s="1"/>
  <c r="P120" i="6"/>
  <c r="O120" i="6"/>
  <c r="L120" i="6"/>
  <c r="Q120" i="6" s="1"/>
  <c r="P119" i="6"/>
  <c r="O119" i="6"/>
  <c r="L119" i="6"/>
  <c r="Q119" i="6" s="1"/>
  <c r="P118" i="6"/>
  <c r="O118" i="6"/>
  <c r="L118" i="6"/>
  <c r="Q118" i="6" s="1"/>
  <c r="P117" i="6"/>
  <c r="O117" i="6"/>
  <c r="L117" i="6"/>
  <c r="Q117" i="6" s="1"/>
  <c r="P116" i="6"/>
  <c r="O116" i="6"/>
  <c r="L116" i="6"/>
  <c r="Q116" i="6" s="1"/>
  <c r="P115" i="6"/>
  <c r="O115" i="6"/>
  <c r="L115" i="6"/>
  <c r="Q115" i="6" s="1"/>
  <c r="P114" i="6"/>
  <c r="O114" i="6"/>
  <c r="L114" i="6"/>
  <c r="Q114" i="6" s="1"/>
  <c r="P113" i="6"/>
  <c r="O113" i="6"/>
  <c r="L113" i="6"/>
  <c r="Q113" i="6" s="1"/>
  <c r="P112" i="6"/>
  <c r="O112" i="6"/>
  <c r="L112" i="6"/>
  <c r="Q112" i="6" s="1"/>
  <c r="P111" i="6"/>
  <c r="O111" i="6"/>
  <c r="L111" i="6"/>
  <c r="Q111" i="6" s="1"/>
  <c r="P110" i="6"/>
  <c r="O110" i="6"/>
  <c r="L110" i="6"/>
  <c r="Q110" i="6" s="1"/>
  <c r="P109" i="6"/>
  <c r="O109" i="6"/>
  <c r="L109" i="6"/>
  <c r="Q109" i="6" s="1"/>
  <c r="P108" i="6"/>
  <c r="O108" i="6"/>
  <c r="L108" i="6"/>
  <c r="Q108" i="6" s="1"/>
  <c r="P107" i="6"/>
  <c r="O107" i="6"/>
  <c r="L107" i="6"/>
  <c r="Q107" i="6" s="1"/>
  <c r="Q106" i="6"/>
  <c r="P106" i="6"/>
  <c r="O106" i="6"/>
  <c r="L106" i="6"/>
  <c r="P105" i="6"/>
  <c r="O105" i="6"/>
  <c r="L105" i="6"/>
  <c r="Q105" i="6" s="1"/>
  <c r="P104" i="6"/>
  <c r="O104" i="6"/>
  <c r="L104" i="6"/>
  <c r="Q104" i="6" s="1"/>
  <c r="P103" i="6"/>
  <c r="O103" i="6"/>
  <c r="L103" i="6"/>
  <c r="Q103" i="6" s="1"/>
  <c r="P102" i="6"/>
  <c r="O102" i="6"/>
  <c r="L102" i="6"/>
  <c r="Q102" i="6" s="1"/>
  <c r="Q101" i="6"/>
  <c r="P101" i="6"/>
  <c r="O101" i="6"/>
  <c r="L101" i="6"/>
  <c r="P100" i="6"/>
  <c r="O100" i="6"/>
  <c r="L100" i="6"/>
  <c r="Q100" i="6" s="1"/>
  <c r="Q99" i="6"/>
  <c r="P99" i="6"/>
  <c r="O99" i="6"/>
  <c r="L99" i="6"/>
  <c r="P98" i="6"/>
  <c r="O98" i="6"/>
  <c r="L98" i="6"/>
  <c r="Q98" i="6" s="1"/>
  <c r="P97" i="6"/>
  <c r="O97" i="6"/>
  <c r="L97" i="6"/>
  <c r="Q97" i="6" s="1"/>
  <c r="P96" i="6"/>
  <c r="O96" i="6"/>
  <c r="L96" i="6"/>
  <c r="Q96" i="6" s="1"/>
  <c r="P95" i="6"/>
  <c r="O95" i="6"/>
  <c r="L95" i="6"/>
  <c r="Q95" i="6" s="1"/>
  <c r="P94" i="6"/>
  <c r="O94" i="6"/>
  <c r="L94" i="6"/>
  <c r="Q94" i="6" s="1"/>
  <c r="P93" i="6"/>
  <c r="O93" i="6"/>
  <c r="L93" i="6"/>
  <c r="Q93" i="6" s="1"/>
  <c r="P92" i="6"/>
  <c r="O92" i="6"/>
  <c r="L92" i="6"/>
  <c r="Q92" i="6" s="1"/>
  <c r="P91" i="6"/>
  <c r="O91" i="6"/>
  <c r="L91" i="6"/>
  <c r="Q91" i="6" s="1"/>
  <c r="P90" i="6"/>
  <c r="O90" i="6"/>
  <c r="L90" i="6"/>
  <c r="Q90" i="6" s="1"/>
  <c r="P89" i="6"/>
  <c r="O89" i="6"/>
  <c r="L89" i="6"/>
  <c r="Q89" i="6" s="1"/>
  <c r="P88" i="6"/>
  <c r="O88" i="6"/>
  <c r="L88" i="6"/>
  <c r="Q88" i="6" s="1"/>
  <c r="P87" i="6"/>
  <c r="O87" i="6"/>
  <c r="L87" i="6"/>
  <c r="Q87" i="6" s="1"/>
  <c r="P86" i="6"/>
  <c r="O86" i="6"/>
  <c r="L86" i="6"/>
  <c r="Q86" i="6" s="1"/>
  <c r="P85" i="6"/>
  <c r="O85" i="6"/>
  <c r="L85" i="6"/>
  <c r="Q85" i="6" s="1"/>
  <c r="P84" i="6"/>
  <c r="O84" i="6"/>
  <c r="L84" i="6"/>
  <c r="Q84" i="6" s="1"/>
  <c r="P83" i="6"/>
  <c r="O83" i="6"/>
  <c r="L83" i="6"/>
  <c r="Q83" i="6" s="1"/>
  <c r="P82" i="6"/>
  <c r="O82" i="6"/>
  <c r="L82" i="6"/>
  <c r="Q82" i="6" s="1"/>
  <c r="P81" i="6"/>
  <c r="O81" i="6"/>
  <c r="L81" i="6"/>
  <c r="Q81" i="6" s="1"/>
  <c r="P80" i="6"/>
  <c r="O80" i="6"/>
  <c r="L80" i="6"/>
  <c r="Q80" i="6" s="1"/>
  <c r="P79" i="6"/>
  <c r="O79" i="6"/>
  <c r="L79" i="6"/>
  <c r="Q79" i="6" s="1"/>
  <c r="P78" i="6"/>
  <c r="O78" i="6"/>
  <c r="L78" i="6"/>
  <c r="Q78" i="6" s="1"/>
  <c r="P77" i="6"/>
  <c r="O77" i="6"/>
  <c r="L77" i="6"/>
  <c r="Q77" i="6" s="1"/>
  <c r="P76" i="6"/>
  <c r="O76" i="6"/>
  <c r="L76" i="6"/>
  <c r="Q76" i="6" s="1"/>
  <c r="P75" i="6"/>
  <c r="O75" i="6"/>
  <c r="L75" i="6"/>
  <c r="Q75" i="6" s="1"/>
  <c r="P74" i="6"/>
  <c r="O74" i="6"/>
  <c r="L74" i="6"/>
  <c r="Q74" i="6" s="1"/>
  <c r="P73" i="6"/>
  <c r="O73" i="6"/>
  <c r="L73" i="6"/>
  <c r="Q73" i="6" s="1"/>
  <c r="P72" i="6"/>
  <c r="O72" i="6"/>
  <c r="L72" i="6"/>
  <c r="Q72" i="6" s="1"/>
  <c r="S72" i="6" s="1"/>
  <c r="U72" i="6" s="1"/>
  <c r="P71" i="6"/>
  <c r="O71" i="6"/>
  <c r="L71" i="6"/>
  <c r="Q71" i="6" s="1"/>
  <c r="P70" i="6"/>
  <c r="O70" i="6"/>
  <c r="L70" i="6"/>
  <c r="Q70" i="6" s="1"/>
  <c r="P69" i="6"/>
  <c r="O69" i="6"/>
  <c r="L69" i="6"/>
  <c r="Q69" i="6" s="1"/>
  <c r="P68" i="6"/>
  <c r="O68" i="6"/>
  <c r="L68" i="6"/>
  <c r="Q68" i="6" s="1"/>
  <c r="P67" i="6"/>
  <c r="O67" i="6"/>
  <c r="L67" i="6"/>
  <c r="Q67" i="6" s="1"/>
  <c r="P66" i="6"/>
  <c r="O66" i="6"/>
  <c r="L66" i="6"/>
  <c r="Q66" i="6" s="1"/>
  <c r="P65" i="6"/>
  <c r="O65" i="6"/>
  <c r="L65" i="6"/>
  <c r="Q65" i="6" s="1"/>
  <c r="P64" i="6"/>
  <c r="O64" i="6"/>
  <c r="L64" i="6"/>
  <c r="Q64" i="6" s="1"/>
  <c r="P63" i="6"/>
  <c r="O63" i="6"/>
  <c r="L63" i="6"/>
  <c r="Q63" i="6" s="1"/>
  <c r="P62" i="6"/>
  <c r="O62" i="6"/>
  <c r="L62" i="6"/>
  <c r="Q62" i="6" s="1"/>
  <c r="P61" i="6"/>
  <c r="O61" i="6"/>
  <c r="L61" i="6"/>
  <c r="Q61" i="6" s="1"/>
  <c r="P60" i="6"/>
  <c r="O60" i="6"/>
  <c r="L60" i="6"/>
  <c r="Q60" i="6" s="1"/>
  <c r="P59" i="6"/>
  <c r="O59" i="6"/>
  <c r="L59" i="6"/>
  <c r="Q59" i="6" s="1"/>
  <c r="P58" i="6"/>
  <c r="O58" i="6"/>
  <c r="L58" i="6"/>
  <c r="Q58" i="6" s="1"/>
  <c r="P57" i="6"/>
  <c r="O57" i="6"/>
  <c r="L57" i="6"/>
  <c r="Q57" i="6" s="1"/>
  <c r="P56" i="6"/>
  <c r="O56" i="6"/>
  <c r="L56" i="6"/>
  <c r="Q56" i="6" s="1"/>
  <c r="P55" i="6"/>
  <c r="O55" i="6"/>
  <c r="L55" i="6"/>
  <c r="Q55" i="6" s="1"/>
  <c r="S55" i="6" s="1"/>
  <c r="U55" i="6" s="1"/>
  <c r="P54" i="6"/>
  <c r="O54" i="6"/>
  <c r="L54" i="6"/>
  <c r="Q54" i="6" s="1"/>
  <c r="P53" i="6"/>
  <c r="O53" i="6"/>
  <c r="L53" i="6"/>
  <c r="Q53" i="6" s="1"/>
  <c r="P52" i="6"/>
  <c r="O52" i="6"/>
  <c r="L52" i="6"/>
  <c r="Q52" i="6" s="1"/>
  <c r="P51" i="6"/>
  <c r="O51" i="6"/>
  <c r="L51" i="6"/>
  <c r="Q51" i="6" s="1"/>
  <c r="P50" i="6"/>
  <c r="O50" i="6"/>
  <c r="L50" i="6"/>
  <c r="Q50" i="6" s="1"/>
  <c r="P49" i="6"/>
  <c r="O49" i="6"/>
  <c r="L49" i="6"/>
  <c r="Q49" i="6" s="1"/>
  <c r="P48" i="6"/>
  <c r="O48" i="6"/>
  <c r="L48" i="6"/>
  <c r="Q48" i="6" s="1"/>
  <c r="P47" i="6"/>
  <c r="O47" i="6"/>
  <c r="L47" i="6"/>
  <c r="Q47" i="6" s="1"/>
  <c r="P46" i="6"/>
  <c r="O46" i="6"/>
  <c r="L46" i="6"/>
  <c r="Q46" i="6" s="1"/>
  <c r="P45" i="6"/>
  <c r="O45" i="6"/>
  <c r="L45" i="6"/>
  <c r="Q45" i="6" s="1"/>
  <c r="P44" i="6"/>
  <c r="O44" i="6"/>
  <c r="L44" i="6"/>
  <c r="Q44" i="6" s="1"/>
  <c r="P43" i="6"/>
  <c r="O43" i="6"/>
  <c r="L43" i="6"/>
  <c r="Q43" i="6" s="1"/>
  <c r="P42" i="6"/>
  <c r="O42" i="6"/>
  <c r="L42" i="6"/>
  <c r="Q42" i="6" s="1"/>
  <c r="P41" i="6"/>
  <c r="O41" i="6"/>
  <c r="L41" i="6"/>
  <c r="Q41" i="6" s="1"/>
  <c r="P40" i="6"/>
  <c r="O40" i="6"/>
  <c r="L40" i="6"/>
  <c r="Q40" i="6" s="1"/>
  <c r="P39" i="6"/>
  <c r="O39" i="6"/>
  <c r="L39" i="6"/>
  <c r="Q39" i="6" s="1"/>
  <c r="P38" i="6"/>
  <c r="O38" i="6"/>
  <c r="L38" i="6"/>
  <c r="Q38" i="6" s="1"/>
  <c r="P37" i="6"/>
  <c r="O37" i="6"/>
  <c r="L37" i="6"/>
  <c r="Q37" i="6" s="1"/>
  <c r="P36" i="6"/>
  <c r="O36" i="6"/>
  <c r="L36" i="6"/>
  <c r="Q36" i="6" s="1"/>
  <c r="Q35" i="6"/>
  <c r="P35" i="6"/>
  <c r="O35" i="6"/>
  <c r="L35" i="6"/>
  <c r="P34" i="6"/>
  <c r="O34" i="6"/>
  <c r="L34" i="6"/>
  <c r="Q34" i="6" s="1"/>
  <c r="P33" i="6"/>
  <c r="O33" i="6"/>
  <c r="L33" i="6"/>
  <c r="Q33" i="6" s="1"/>
  <c r="P32" i="6"/>
  <c r="O32" i="6"/>
  <c r="L32" i="6"/>
  <c r="Q32" i="6" s="1"/>
  <c r="P31" i="6"/>
  <c r="O31" i="6"/>
  <c r="L31" i="6"/>
  <c r="Q31" i="6" s="1"/>
  <c r="P30" i="6"/>
  <c r="O30" i="6"/>
  <c r="L30" i="6"/>
  <c r="Q30" i="6" s="1"/>
  <c r="P29" i="6"/>
  <c r="O29" i="6"/>
  <c r="L29" i="6"/>
  <c r="Q29" i="6" s="1"/>
  <c r="P28" i="6"/>
  <c r="O28" i="6"/>
  <c r="L28" i="6"/>
  <c r="Q28" i="6" s="1"/>
  <c r="P27" i="6"/>
  <c r="O27" i="6"/>
  <c r="L27" i="6"/>
  <c r="Q27" i="6" s="1"/>
  <c r="P26" i="6"/>
  <c r="O26" i="6"/>
  <c r="L26" i="6"/>
  <c r="Q26" i="6" s="1"/>
  <c r="P25" i="6"/>
  <c r="O25" i="6"/>
  <c r="L25" i="6"/>
  <c r="Q25" i="6" s="1"/>
  <c r="P24" i="6"/>
  <c r="O24" i="6"/>
  <c r="L24" i="6"/>
  <c r="Q24" i="6" s="1"/>
  <c r="P23" i="6"/>
  <c r="O23" i="6"/>
  <c r="L23" i="6"/>
  <c r="Q23" i="6" s="1"/>
  <c r="P22" i="6"/>
  <c r="O22" i="6"/>
  <c r="L22" i="6"/>
  <c r="Q22" i="6" s="1"/>
  <c r="S22" i="6" s="1"/>
  <c r="U22" i="6" s="1"/>
  <c r="P21" i="6"/>
  <c r="O21" i="6"/>
  <c r="L21" i="6"/>
  <c r="Q21" i="6" s="1"/>
  <c r="P20" i="6"/>
  <c r="O20" i="6"/>
  <c r="L20" i="6"/>
  <c r="Q20" i="6" s="1"/>
  <c r="P19" i="6"/>
  <c r="O19" i="6"/>
  <c r="L19" i="6"/>
  <c r="Q19" i="6" s="1"/>
  <c r="P18" i="6"/>
  <c r="O18" i="6"/>
  <c r="L18" i="6"/>
  <c r="Q18" i="6" s="1"/>
  <c r="P17" i="6"/>
  <c r="O17" i="6"/>
  <c r="L17" i="6"/>
  <c r="Q17" i="6" s="1"/>
  <c r="P16" i="6"/>
  <c r="O16" i="6"/>
  <c r="L16" i="6"/>
  <c r="Q16" i="6" s="1"/>
  <c r="P15" i="6"/>
  <c r="O15" i="6"/>
  <c r="L15" i="6"/>
  <c r="Q15" i="6" s="1"/>
  <c r="P14" i="6"/>
  <c r="O14" i="6"/>
  <c r="L14" i="6"/>
  <c r="Q14" i="6" s="1"/>
  <c r="P13" i="6"/>
  <c r="O13" i="6"/>
  <c r="L13" i="6"/>
  <c r="Q13" i="6" s="1"/>
  <c r="P12" i="6"/>
  <c r="O12" i="6"/>
  <c r="L12" i="6"/>
  <c r="Q12" i="6" s="1"/>
  <c r="Q11" i="6"/>
  <c r="P11" i="6"/>
  <c r="O11" i="6"/>
  <c r="L11" i="6"/>
  <c r="P10" i="6"/>
  <c r="O10" i="6"/>
  <c r="L10" i="6"/>
  <c r="Q10" i="6" s="1"/>
  <c r="Q9" i="6"/>
  <c r="P9" i="6"/>
  <c r="O9" i="6"/>
  <c r="L9" i="6"/>
  <c r="P8" i="6"/>
  <c r="O8" i="6"/>
  <c r="L8" i="6"/>
  <c r="Q8" i="6" s="1"/>
  <c r="P7" i="6"/>
  <c r="O7" i="6"/>
  <c r="L7" i="6"/>
  <c r="Q7" i="6" s="1"/>
  <c r="B7" i="6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P6" i="6"/>
  <c r="O6" i="6"/>
  <c r="L6" i="6"/>
  <c r="Q6" i="6" s="1"/>
  <c r="P5" i="6"/>
  <c r="O5" i="6"/>
  <c r="L5" i="6"/>
  <c r="Q5" i="6" s="1"/>
  <c r="P4" i="6"/>
  <c r="O4" i="6"/>
  <c r="L4" i="6"/>
  <c r="Q4" i="6" s="1"/>
  <c r="P3" i="6"/>
  <c r="O3" i="6"/>
  <c r="L3" i="6"/>
  <c r="Q3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P2" i="6"/>
  <c r="O2" i="6"/>
  <c r="L2" i="6"/>
  <c r="Q2" i="6" s="1"/>
  <c r="P157" i="5"/>
  <c r="O157" i="5"/>
  <c r="L157" i="5"/>
  <c r="Q157" i="5" s="1"/>
  <c r="S157" i="5" s="1"/>
  <c r="U157" i="5" s="1"/>
  <c r="P156" i="5"/>
  <c r="O156" i="5"/>
  <c r="L156" i="5"/>
  <c r="Q156" i="5" s="1"/>
  <c r="S156" i="5" s="1"/>
  <c r="U156" i="5" s="1"/>
  <c r="Q155" i="5"/>
  <c r="P155" i="5"/>
  <c r="O155" i="5"/>
  <c r="L155" i="5"/>
  <c r="P154" i="5"/>
  <c r="O154" i="5"/>
  <c r="L154" i="5"/>
  <c r="Q154" i="5" s="1"/>
  <c r="Q153" i="5"/>
  <c r="P153" i="5"/>
  <c r="O153" i="5"/>
  <c r="L153" i="5"/>
  <c r="P152" i="5"/>
  <c r="O152" i="5"/>
  <c r="L152" i="5"/>
  <c r="Q152" i="5" s="1"/>
  <c r="P151" i="5"/>
  <c r="O151" i="5"/>
  <c r="L151" i="5"/>
  <c r="Q151" i="5" s="1"/>
  <c r="P150" i="5"/>
  <c r="O150" i="5"/>
  <c r="L150" i="5"/>
  <c r="Q150" i="5" s="1"/>
  <c r="Q149" i="5"/>
  <c r="P149" i="5"/>
  <c r="O149" i="5"/>
  <c r="L149" i="5"/>
  <c r="P148" i="5"/>
  <c r="O148" i="5"/>
  <c r="L148" i="5"/>
  <c r="Q148" i="5" s="1"/>
  <c r="S148" i="5" s="1"/>
  <c r="U148" i="5" s="1"/>
  <c r="P147" i="5"/>
  <c r="O147" i="5"/>
  <c r="L147" i="5"/>
  <c r="Q147" i="5" s="1"/>
  <c r="P146" i="5"/>
  <c r="O146" i="5"/>
  <c r="L146" i="5"/>
  <c r="Q146" i="5" s="1"/>
  <c r="Q145" i="5"/>
  <c r="P145" i="5"/>
  <c r="O145" i="5"/>
  <c r="L145" i="5"/>
  <c r="P144" i="5"/>
  <c r="O144" i="5"/>
  <c r="L144" i="5"/>
  <c r="Q144" i="5" s="1"/>
  <c r="P143" i="5"/>
  <c r="O143" i="5"/>
  <c r="L143" i="5"/>
  <c r="Q143" i="5" s="1"/>
  <c r="P142" i="5"/>
  <c r="O142" i="5"/>
  <c r="L142" i="5"/>
  <c r="Q142" i="5" s="1"/>
  <c r="P141" i="5"/>
  <c r="O141" i="5"/>
  <c r="L141" i="5"/>
  <c r="Q141" i="5" s="1"/>
  <c r="S141" i="5" s="1"/>
  <c r="U141" i="5" s="1"/>
  <c r="P140" i="5"/>
  <c r="O140" i="5"/>
  <c r="L140" i="5"/>
  <c r="Q140" i="5" s="1"/>
  <c r="P139" i="5"/>
  <c r="O139" i="5"/>
  <c r="L139" i="5"/>
  <c r="Q139" i="5" s="1"/>
  <c r="S139" i="5" s="1"/>
  <c r="U139" i="5" s="1"/>
  <c r="P138" i="5"/>
  <c r="O138" i="5"/>
  <c r="L138" i="5"/>
  <c r="Q138" i="5" s="1"/>
  <c r="P137" i="5"/>
  <c r="O137" i="5"/>
  <c r="L137" i="5"/>
  <c r="Q137" i="5" s="1"/>
  <c r="P136" i="5"/>
  <c r="O136" i="5"/>
  <c r="L136" i="5"/>
  <c r="Q136" i="5" s="1"/>
  <c r="P135" i="5"/>
  <c r="O135" i="5"/>
  <c r="L135" i="5"/>
  <c r="Q135" i="5" s="1"/>
  <c r="P134" i="5"/>
  <c r="O134" i="5"/>
  <c r="L134" i="5"/>
  <c r="Q134" i="5" s="1"/>
  <c r="Q133" i="5"/>
  <c r="S133" i="5" s="1"/>
  <c r="U133" i="5" s="1"/>
  <c r="P133" i="5"/>
  <c r="O133" i="5"/>
  <c r="L133" i="5"/>
  <c r="Q132" i="5"/>
  <c r="P132" i="5"/>
  <c r="O132" i="5"/>
  <c r="L132" i="5"/>
  <c r="P131" i="5"/>
  <c r="O131" i="5"/>
  <c r="L131" i="5"/>
  <c r="Q131" i="5" s="1"/>
  <c r="P130" i="5"/>
  <c r="O130" i="5"/>
  <c r="L130" i="5"/>
  <c r="Q130" i="5" s="1"/>
  <c r="S130" i="5" s="1"/>
  <c r="U130" i="5" s="1"/>
  <c r="P129" i="5"/>
  <c r="O129" i="5"/>
  <c r="L129" i="5"/>
  <c r="Q129" i="5" s="1"/>
  <c r="P128" i="5"/>
  <c r="O128" i="5"/>
  <c r="L128" i="5"/>
  <c r="Q128" i="5" s="1"/>
  <c r="P127" i="5"/>
  <c r="O127" i="5"/>
  <c r="L127" i="5"/>
  <c r="Q127" i="5" s="1"/>
  <c r="P126" i="5"/>
  <c r="O126" i="5"/>
  <c r="L126" i="5"/>
  <c r="Q126" i="5" s="1"/>
  <c r="S126" i="5" s="1"/>
  <c r="U126" i="5" s="1"/>
  <c r="P125" i="5"/>
  <c r="O125" i="5"/>
  <c r="L125" i="5"/>
  <c r="Q125" i="5" s="1"/>
  <c r="S125" i="5" s="1"/>
  <c r="U125" i="5" s="1"/>
  <c r="Q124" i="5"/>
  <c r="S124" i="5" s="1"/>
  <c r="U124" i="5" s="1"/>
  <c r="P124" i="5"/>
  <c r="O124" i="5"/>
  <c r="L124" i="5"/>
  <c r="Q123" i="5"/>
  <c r="P123" i="5"/>
  <c r="O123" i="5"/>
  <c r="L123" i="5"/>
  <c r="P122" i="5"/>
  <c r="O122" i="5"/>
  <c r="L122" i="5"/>
  <c r="Q122" i="5" s="1"/>
  <c r="P121" i="5"/>
  <c r="O121" i="5"/>
  <c r="L121" i="5"/>
  <c r="Q121" i="5" s="1"/>
  <c r="P120" i="5"/>
  <c r="O120" i="5"/>
  <c r="L120" i="5"/>
  <c r="Q120" i="5" s="1"/>
  <c r="P119" i="5"/>
  <c r="O119" i="5"/>
  <c r="L119" i="5"/>
  <c r="Q119" i="5" s="1"/>
  <c r="P118" i="5"/>
  <c r="O118" i="5"/>
  <c r="L118" i="5"/>
  <c r="Q118" i="5" s="1"/>
  <c r="P117" i="5"/>
  <c r="O117" i="5"/>
  <c r="L117" i="5"/>
  <c r="Q117" i="5" s="1"/>
  <c r="S117" i="5" s="1"/>
  <c r="U117" i="5" s="1"/>
  <c r="P116" i="5"/>
  <c r="O116" i="5"/>
  <c r="L116" i="5"/>
  <c r="Q116" i="5" s="1"/>
  <c r="S116" i="5" s="1"/>
  <c r="U116" i="5" s="1"/>
  <c r="Q115" i="5"/>
  <c r="P115" i="5"/>
  <c r="O115" i="5"/>
  <c r="L115" i="5"/>
  <c r="P114" i="5"/>
  <c r="O114" i="5"/>
  <c r="L114" i="5"/>
  <c r="Q114" i="5" s="1"/>
  <c r="P113" i="5"/>
  <c r="O113" i="5"/>
  <c r="L113" i="5"/>
  <c r="Q113" i="5" s="1"/>
  <c r="P112" i="5"/>
  <c r="O112" i="5"/>
  <c r="L112" i="5"/>
  <c r="Q112" i="5" s="1"/>
  <c r="P111" i="5"/>
  <c r="O111" i="5"/>
  <c r="L111" i="5"/>
  <c r="Q111" i="5" s="1"/>
  <c r="P110" i="5"/>
  <c r="O110" i="5"/>
  <c r="L110" i="5"/>
  <c r="Q110" i="5" s="1"/>
  <c r="Q109" i="5"/>
  <c r="P109" i="5"/>
  <c r="O109" i="5"/>
  <c r="L109" i="5"/>
  <c r="P108" i="5"/>
  <c r="O108" i="5"/>
  <c r="L108" i="5"/>
  <c r="Q108" i="5" s="1"/>
  <c r="S108" i="5" s="1"/>
  <c r="U108" i="5" s="1"/>
  <c r="P107" i="5"/>
  <c r="O107" i="5"/>
  <c r="L107" i="5"/>
  <c r="Q107" i="5" s="1"/>
  <c r="P106" i="5"/>
  <c r="O106" i="5"/>
  <c r="L106" i="5"/>
  <c r="Q106" i="5" s="1"/>
  <c r="P105" i="5"/>
  <c r="O105" i="5"/>
  <c r="L105" i="5"/>
  <c r="Q105" i="5" s="1"/>
  <c r="Q104" i="5"/>
  <c r="P104" i="5"/>
  <c r="O104" i="5"/>
  <c r="L104" i="5"/>
  <c r="P103" i="5"/>
  <c r="O103" i="5"/>
  <c r="L103" i="5"/>
  <c r="Q103" i="5" s="1"/>
  <c r="P102" i="5"/>
  <c r="O102" i="5"/>
  <c r="L102" i="5"/>
  <c r="Q102" i="5" s="1"/>
  <c r="Q101" i="5"/>
  <c r="S101" i="5" s="1"/>
  <c r="U101" i="5" s="1"/>
  <c r="P101" i="5"/>
  <c r="O101" i="5"/>
  <c r="L101" i="5"/>
  <c r="Q100" i="5"/>
  <c r="P100" i="5"/>
  <c r="O100" i="5"/>
  <c r="L100" i="5"/>
  <c r="P99" i="5"/>
  <c r="O99" i="5"/>
  <c r="L99" i="5"/>
  <c r="Q99" i="5" s="1"/>
  <c r="P98" i="5"/>
  <c r="O98" i="5"/>
  <c r="L98" i="5"/>
  <c r="Q98" i="5" s="1"/>
  <c r="P97" i="5"/>
  <c r="O97" i="5"/>
  <c r="L97" i="5"/>
  <c r="Q97" i="5" s="1"/>
  <c r="P96" i="5"/>
  <c r="O96" i="5"/>
  <c r="L96" i="5"/>
  <c r="Q96" i="5" s="1"/>
  <c r="P95" i="5"/>
  <c r="O95" i="5"/>
  <c r="L95" i="5"/>
  <c r="Q95" i="5" s="1"/>
  <c r="P94" i="5"/>
  <c r="O94" i="5"/>
  <c r="L94" i="5"/>
  <c r="Q94" i="5" s="1"/>
  <c r="P93" i="5"/>
  <c r="O93" i="5"/>
  <c r="L93" i="5"/>
  <c r="Q93" i="5" s="1"/>
  <c r="S93" i="5" s="1"/>
  <c r="U93" i="5" s="1"/>
  <c r="Q92" i="5"/>
  <c r="S92" i="5" s="1"/>
  <c r="U92" i="5" s="1"/>
  <c r="P92" i="5"/>
  <c r="O92" i="5"/>
  <c r="L92" i="5"/>
  <c r="Q91" i="5"/>
  <c r="P91" i="5"/>
  <c r="O91" i="5"/>
  <c r="L91" i="5"/>
  <c r="P90" i="5"/>
  <c r="O90" i="5"/>
  <c r="L90" i="5"/>
  <c r="Q90" i="5" s="1"/>
  <c r="P89" i="5"/>
  <c r="O89" i="5"/>
  <c r="L89" i="5"/>
  <c r="Q89" i="5" s="1"/>
  <c r="P88" i="5"/>
  <c r="O88" i="5"/>
  <c r="L88" i="5"/>
  <c r="Q88" i="5" s="1"/>
  <c r="P87" i="5"/>
  <c r="O87" i="5"/>
  <c r="L87" i="5"/>
  <c r="Q87" i="5" s="1"/>
  <c r="P86" i="5"/>
  <c r="O86" i="5"/>
  <c r="L86" i="5"/>
  <c r="Q86" i="5" s="1"/>
  <c r="P85" i="5"/>
  <c r="O85" i="5"/>
  <c r="L85" i="5"/>
  <c r="Q85" i="5" s="1"/>
  <c r="S85" i="5" s="1"/>
  <c r="U85" i="5" s="1"/>
  <c r="P84" i="5"/>
  <c r="O84" i="5"/>
  <c r="L84" i="5"/>
  <c r="Q84" i="5" s="1"/>
  <c r="S84" i="5" s="1"/>
  <c r="U84" i="5" s="1"/>
  <c r="Q83" i="5"/>
  <c r="P83" i="5"/>
  <c r="O83" i="5"/>
  <c r="L83" i="5"/>
  <c r="P82" i="5"/>
  <c r="O82" i="5"/>
  <c r="L82" i="5"/>
  <c r="Q82" i="5" s="1"/>
  <c r="P81" i="5"/>
  <c r="O81" i="5"/>
  <c r="L81" i="5"/>
  <c r="Q81" i="5" s="1"/>
  <c r="P80" i="5"/>
  <c r="O80" i="5"/>
  <c r="L80" i="5"/>
  <c r="Q80" i="5" s="1"/>
  <c r="P79" i="5"/>
  <c r="O79" i="5"/>
  <c r="L79" i="5"/>
  <c r="Q79" i="5" s="1"/>
  <c r="P78" i="5"/>
  <c r="O78" i="5"/>
  <c r="L78" i="5"/>
  <c r="Q78" i="5" s="1"/>
  <c r="P77" i="5"/>
  <c r="O77" i="5"/>
  <c r="L77" i="5"/>
  <c r="Q77" i="5" s="1"/>
  <c r="Q76" i="5"/>
  <c r="P76" i="5"/>
  <c r="O76" i="5"/>
  <c r="L76" i="5"/>
  <c r="P75" i="5"/>
  <c r="O75" i="5"/>
  <c r="L75" i="5"/>
  <c r="Q75" i="5" s="1"/>
  <c r="P74" i="5"/>
  <c r="O74" i="5"/>
  <c r="L74" i="5"/>
  <c r="Q74" i="5" s="1"/>
  <c r="P73" i="5"/>
  <c r="O73" i="5"/>
  <c r="L73" i="5"/>
  <c r="Q73" i="5" s="1"/>
  <c r="P72" i="5"/>
  <c r="O72" i="5"/>
  <c r="L72" i="5"/>
  <c r="Q72" i="5" s="1"/>
  <c r="S72" i="5" s="1"/>
  <c r="U72" i="5" s="1"/>
  <c r="Q71" i="5"/>
  <c r="P71" i="5"/>
  <c r="O71" i="5"/>
  <c r="L71" i="5"/>
  <c r="P70" i="5"/>
  <c r="O70" i="5"/>
  <c r="L70" i="5"/>
  <c r="Q70" i="5" s="1"/>
  <c r="P69" i="5"/>
  <c r="O69" i="5"/>
  <c r="L69" i="5"/>
  <c r="Q69" i="5" s="1"/>
  <c r="P68" i="5"/>
  <c r="O68" i="5"/>
  <c r="L68" i="5"/>
  <c r="Q68" i="5" s="1"/>
  <c r="S68" i="5" s="1"/>
  <c r="U68" i="5" s="1"/>
  <c r="Q67" i="5"/>
  <c r="P67" i="5"/>
  <c r="O67" i="5"/>
  <c r="L67" i="5"/>
  <c r="P66" i="5"/>
  <c r="O66" i="5"/>
  <c r="L66" i="5"/>
  <c r="Q66" i="5" s="1"/>
  <c r="P65" i="5"/>
  <c r="O65" i="5"/>
  <c r="L65" i="5"/>
  <c r="Q65" i="5" s="1"/>
  <c r="P64" i="5"/>
  <c r="O64" i="5"/>
  <c r="L64" i="5"/>
  <c r="Q64" i="5" s="1"/>
  <c r="S64" i="5" s="1"/>
  <c r="U64" i="5" s="1"/>
  <c r="P63" i="5"/>
  <c r="O63" i="5"/>
  <c r="L63" i="5"/>
  <c r="Q63" i="5" s="1"/>
  <c r="S63" i="5" s="1"/>
  <c r="U63" i="5" s="1"/>
  <c r="P62" i="5"/>
  <c r="O62" i="5"/>
  <c r="L62" i="5"/>
  <c r="Q62" i="5" s="1"/>
  <c r="P61" i="5"/>
  <c r="O61" i="5"/>
  <c r="L61" i="5"/>
  <c r="Q61" i="5" s="1"/>
  <c r="P60" i="5"/>
  <c r="O60" i="5"/>
  <c r="L60" i="5"/>
  <c r="Q60" i="5" s="1"/>
  <c r="S60" i="5" s="1"/>
  <c r="U60" i="5" s="1"/>
  <c r="P59" i="5"/>
  <c r="O59" i="5"/>
  <c r="L59" i="5"/>
  <c r="Q59" i="5" s="1"/>
  <c r="P58" i="5"/>
  <c r="O58" i="5"/>
  <c r="L58" i="5"/>
  <c r="Q58" i="5" s="1"/>
  <c r="P57" i="5"/>
  <c r="O57" i="5"/>
  <c r="L57" i="5"/>
  <c r="Q57" i="5" s="1"/>
  <c r="Q56" i="5"/>
  <c r="P56" i="5"/>
  <c r="O56" i="5"/>
  <c r="L56" i="5"/>
  <c r="P55" i="5"/>
  <c r="O55" i="5"/>
  <c r="L55" i="5"/>
  <c r="Q55" i="5" s="1"/>
  <c r="P54" i="5"/>
  <c r="O54" i="5"/>
  <c r="L54" i="5"/>
  <c r="Q54" i="5" s="1"/>
  <c r="P53" i="5"/>
  <c r="O53" i="5"/>
  <c r="L53" i="5"/>
  <c r="Q53" i="5" s="1"/>
  <c r="P52" i="5"/>
  <c r="O52" i="5"/>
  <c r="L52" i="5"/>
  <c r="Q52" i="5" s="1"/>
  <c r="Q51" i="5"/>
  <c r="S51" i="5" s="1"/>
  <c r="U51" i="5" s="1"/>
  <c r="P51" i="5"/>
  <c r="O51" i="5"/>
  <c r="L51" i="5"/>
  <c r="Q50" i="5"/>
  <c r="P50" i="5"/>
  <c r="O50" i="5"/>
  <c r="L50" i="5"/>
  <c r="P49" i="5"/>
  <c r="O49" i="5"/>
  <c r="L49" i="5"/>
  <c r="Q49" i="5" s="1"/>
  <c r="S49" i="5" s="1"/>
  <c r="U49" i="5" s="1"/>
  <c r="P48" i="5"/>
  <c r="O48" i="5"/>
  <c r="L48" i="5"/>
  <c r="Q48" i="5" s="1"/>
  <c r="P47" i="5"/>
  <c r="O47" i="5"/>
  <c r="L47" i="5"/>
  <c r="Q47" i="5" s="1"/>
  <c r="P46" i="5"/>
  <c r="O46" i="5"/>
  <c r="S46" i="5" s="1"/>
  <c r="U46" i="5" s="1"/>
  <c r="L46" i="5"/>
  <c r="Q46" i="5" s="1"/>
  <c r="P45" i="5"/>
  <c r="O45" i="5"/>
  <c r="L45" i="5"/>
  <c r="Q45" i="5" s="1"/>
  <c r="P44" i="5"/>
  <c r="O44" i="5"/>
  <c r="L44" i="5"/>
  <c r="Q44" i="5" s="1"/>
  <c r="S44" i="5" s="1"/>
  <c r="U44" i="5" s="1"/>
  <c r="P43" i="5"/>
  <c r="O43" i="5"/>
  <c r="L43" i="5"/>
  <c r="Q43" i="5" s="1"/>
  <c r="P42" i="5"/>
  <c r="O42" i="5"/>
  <c r="L42" i="5"/>
  <c r="Q42" i="5" s="1"/>
  <c r="S42" i="5" s="1"/>
  <c r="U42" i="5" s="1"/>
  <c r="P41" i="5"/>
  <c r="O41" i="5"/>
  <c r="L41" i="5"/>
  <c r="Q41" i="5" s="1"/>
  <c r="Q40" i="5"/>
  <c r="P40" i="5"/>
  <c r="O40" i="5"/>
  <c r="L40" i="5"/>
  <c r="P39" i="5"/>
  <c r="O39" i="5"/>
  <c r="L39" i="5"/>
  <c r="Q39" i="5" s="1"/>
  <c r="P38" i="5"/>
  <c r="O38" i="5"/>
  <c r="L38" i="5"/>
  <c r="Q38" i="5" s="1"/>
  <c r="P37" i="5"/>
  <c r="O37" i="5"/>
  <c r="L37" i="5"/>
  <c r="Q37" i="5" s="1"/>
  <c r="P36" i="5"/>
  <c r="O36" i="5"/>
  <c r="L36" i="5"/>
  <c r="Q36" i="5" s="1"/>
  <c r="S36" i="5" s="1"/>
  <c r="U36" i="5" s="1"/>
  <c r="Q35" i="5"/>
  <c r="P35" i="5"/>
  <c r="O35" i="5"/>
  <c r="L35" i="5"/>
  <c r="P34" i="5"/>
  <c r="O34" i="5"/>
  <c r="L34" i="5"/>
  <c r="Q34" i="5" s="1"/>
  <c r="S34" i="5" s="1"/>
  <c r="U34" i="5" s="1"/>
  <c r="P33" i="5"/>
  <c r="O33" i="5"/>
  <c r="L33" i="5"/>
  <c r="Q33" i="5" s="1"/>
  <c r="P32" i="5"/>
  <c r="O32" i="5"/>
  <c r="L32" i="5"/>
  <c r="Q32" i="5" s="1"/>
  <c r="P31" i="5"/>
  <c r="O31" i="5"/>
  <c r="L31" i="5"/>
  <c r="Q31" i="5" s="1"/>
  <c r="P30" i="5"/>
  <c r="O30" i="5"/>
  <c r="L30" i="5"/>
  <c r="Q30" i="5" s="1"/>
  <c r="P29" i="5"/>
  <c r="O29" i="5"/>
  <c r="L29" i="5"/>
  <c r="Q29" i="5" s="1"/>
  <c r="P28" i="5"/>
  <c r="O28" i="5"/>
  <c r="L28" i="5"/>
  <c r="Q28" i="5" s="1"/>
  <c r="P27" i="5"/>
  <c r="O27" i="5"/>
  <c r="L27" i="5"/>
  <c r="Q27" i="5" s="1"/>
  <c r="P26" i="5"/>
  <c r="O26" i="5"/>
  <c r="L26" i="5"/>
  <c r="Q26" i="5" s="1"/>
  <c r="P25" i="5"/>
  <c r="O25" i="5"/>
  <c r="L25" i="5"/>
  <c r="Q25" i="5" s="1"/>
  <c r="P24" i="5"/>
  <c r="O24" i="5"/>
  <c r="L24" i="5"/>
  <c r="Q24" i="5" s="1"/>
  <c r="P23" i="5"/>
  <c r="O23" i="5"/>
  <c r="L23" i="5"/>
  <c r="Q23" i="5" s="1"/>
  <c r="P22" i="5"/>
  <c r="O22" i="5"/>
  <c r="L22" i="5"/>
  <c r="Q22" i="5" s="1"/>
  <c r="P21" i="5"/>
  <c r="O21" i="5"/>
  <c r="L21" i="5"/>
  <c r="Q21" i="5" s="1"/>
  <c r="P20" i="5"/>
  <c r="O20" i="5"/>
  <c r="L20" i="5"/>
  <c r="Q20" i="5" s="1"/>
  <c r="P19" i="5"/>
  <c r="O19" i="5"/>
  <c r="L19" i="5"/>
  <c r="Q19" i="5" s="1"/>
  <c r="P18" i="5"/>
  <c r="O18" i="5"/>
  <c r="L18" i="5"/>
  <c r="Q18" i="5" s="1"/>
  <c r="P17" i="5"/>
  <c r="O17" i="5"/>
  <c r="L17" i="5"/>
  <c r="Q17" i="5" s="1"/>
  <c r="P16" i="5"/>
  <c r="O16" i="5"/>
  <c r="L16" i="5"/>
  <c r="Q16" i="5" s="1"/>
  <c r="P15" i="5"/>
  <c r="O15" i="5"/>
  <c r="L15" i="5"/>
  <c r="Q15" i="5" s="1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P14" i="5"/>
  <c r="O14" i="5"/>
  <c r="L14" i="5"/>
  <c r="Q14" i="5" s="1"/>
  <c r="P13" i="5"/>
  <c r="O13" i="5"/>
  <c r="L13" i="5"/>
  <c r="Q13" i="5" s="1"/>
  <c r="P12" i="5"/>
  <c r="O12" i="5"/>
  <c r="L12" i="5"/>
  <c r="Q12" i="5" s="1"/>
  <c r="P11" i="5"/>
  <c r="O11" i="5"/>
  <c r="L11" i="5"/>
  <c r="Q11" i="5" s="1"/>
  <c r="P10" i="5"/>
  <c r="O10" i="5"/>
  <c r="L10" i="5"/>
  <c r="Q10" i="5" s="1"/>
  <c r="P9" i="5"/>
  <c r="O9" i="5"/>
  <c r="L9" i="5"/>
  <c r="Q9" i="5" s="1"/>
  <c r="P8" i="5"/>
  <c r="O8" i="5"/>
  <c r="L8" i="5"/>
  <c r="Q8" i="5" s="1"/>
  <c r="P7" i="5"/>
  <c r="O7" i="5"/>
  <c r="L7" i="5"/>
  <c r="Q7" i="5" s="1"/>
  <c r="B7" i="5"/>
  <c r="B8" i="5" s="1"/>
  <c r="B9" i="5" s="1"/>
  <c r="B10" i="5" s="1"/>
  <c r="B11" i="5" s="1"/>
  <c r="B12" i="5" s="1"/>
  <c r="B13" i="5" s="1"/>
  <c r="B14" i="5" s="1"/>
  <c r="P6" i="5"/>
  <c r="O6" i="5"/>
  <c r="L6" i="5"/>
  <c r="Q6" i="5" s="1"/>
  <c r="P5" i="5"/>
  <c r="O5" i="5"/>
  <c r="L5" i="5"/>
  <c r="Q5" i="5" s="1"/>
  <c r="P4" i="5"/>
  <c r="O4" i="5"/>
  <c r="L4" i="5"/>
  <c r="Q4" i="5" s="1"/>
  <c r="P3" i="5"/>
  <c r="O3" i="5"/>
  <c r="L3" i="5"/>
  <c r="Q3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Q2" i="5"/>
  <c r="P2" i="5"/>
  <c r="O2" i="5"/>
  <c r="S2" i="5" s="1"/>
  <c r="U2" i="5" s="1"/>
  <c r="L2" i="5"/>
  <c r="S4" i="1"/>
  <c r="U4" i="1" s="1"/>
  <c r="S6" i="1"/>
  <c r="U6" i="1" s="1"/>
  <c r="S9" i="1"/>
  <c r="U9" i="1" s="1"/>
  <c r="S15" i="1"/>
  <c r="U15" i="1" s="1"/>
  <c r="S17" i="1"/>
  <c r="U17" i="1" s="1"/>
  <c r="S18" i="1"/>
  <c r="U18" i="1" s="1"/>
  <c r="S20" i="1"/>
  <c r="U20" i="1" s="1"/>
  <c r="S22" i="1"/>
  <c r="U22" i="1" s="1"/>
  <c r="S25" i="1"/>
  <c r="U25" i="1" s="1"/>
  <c r="S31" i="1"/>
  <c r="U31" i="1" s="1"/>
  <c r="S33" i="1"/>
  <c r="U33" i="1" s="1"/>
  <c r="S34" i="1"/>
  <c r="U34" i="1" s="1"/>
  <c r="S36" i="1"/>
  <c r="U36" i="1" s="1"/>
  <c r="S38" i="1"/>
  <c r="U38" i="1" s="1"/>
  <c r="S41" i="1"/>
  <c r="U41" i="1" s="1"/>
  <c r="S47" i="1"/>
  <c r="U47" i="1" s="1"/>
  <c r="S49" i="1"/>
  <c r="U49" i="1" s="1"/>
  <c r="S50" i="1"/>
  <c r="U50" i="1" s="1"/>
  <c r="S52" i="1"/>
  <c r="U52" i="1" s="1"/>
  <c r="S54" i="1"/>
  <c r="U54" i="1" s="1"/>
  <c r="S57" i="1"/>
  <c r="U57" i="1" s="1"/>
  <c r="S63" i="1"/>
  <c r="U63" i="1" s="1"/>
  <c r="S65" i="1"/>
  <c r="U65" i="1" s="1"/>
  <c r="S66" i="1"/>
  <c r="U66" i="1" s="1"/>
  <c r="S68" i="1"/>
  <c r="U68" i="1" s="1"/>
  <c r="S70" i="1"/>
  <c r="U70" i="1" s="1"/>
  <c r="S73" i="1"/>
  <c r="U73" i="1" s="1"/>
  <c r="S79" i="1"/>
  <c r="U79" i="1" s="1"/>
  <c r="S81" i="1"/>
  <c r="U81" i="1" s="1"/>
  <c r="S82" i="1"/>
  <c r="U82" i="1" s="1"/>
  <c r="S84" i="1"/>
  <c r="U84" i="1" s="1"/>
  <c r="S86" i="1"/>
  <c r="U86" i="1" s="1"/>
  <c r="S89" i="1"/>
  <c r="U89" i="1" s="1"/>
  <c r="S95" i="1"/>
  <c r="U95" i="1" s="1"/>
  <c r="S97" i="1"/>
  <c r="U97" i="1" s="1"/>
  <c r="S98" i="1"/>
  <c r="U98" i="1" s="1"/>
  <c r="S100" i="1"/>
  <c r="U100" i="1" s="1"/>
  <c r="S102" i="1"/>
  <c r="U102" i="1" s="1"/>
  <c r="S105" i="1"/>
  <c r="U105" i="1" s="1"/>
  <c r="S111" i="1"/>
  <c r="U111" i="1" s="1"/>
  <c r="S113" i="1"/>
  <c r="U113" i="1" s="1"/>
  <c r="S114" i="1"/>
  <c r="U114" i="1" s="1"/>
  <c r="S116" i="1"/>
  <c r="U116" i="1" s="1"/>
  <c r="S118" i="1"/>
  <c r="U118" i="1" s="1"/>
  <c r="S121" i="1"/>
  <c r="U121" i="1" s="1"/>
  <c r="S127" i="1"/>
  <c r="U127" i="1" s="1"/>
  <c r="S129" i="1"/>
  <c r="U129" i="1" s="1"/>
  <c r="S130" i="1"/>
  <c r="U130" i="1" s="1"/>
  <c r="S132" i="1"/>
  <c r="U132" i="1" s="1"/>
  <c r="S134" i="1"/>
  <c r="U134" i="1" s="1"/>
  <c r="S137" i="1"/>
  <c r="U137" i="1" s="1"/>
  <c r="S143" i="1"/>
  <c r="U143" i="1" s="1"/>
  <c r="S145" i="1"/>
  <c r="U145" i="1" s="1"/>
  <c r="S146" i="1"/>
  <c r="U146" i="1" s="1"/>
  <c r="S148" i="1"/>
  <c r="U148" i="1" s="1"/>
  <c r="S150" i="1"/>
  <c r="U150" i="1" s="1"/>
  <c r="S153" i="1"/>
  <c r="U153" i="1" s="1"/>
  <c r="L3" i="1"/>
  <c r="Q3" i="1" s="1"/>
  <c r="L4" i="1"/>
  <c r="Q4" i="1" s="1"/>
  <c r="L5" i="1"/>
  <c r="Q5" i="1" s="1"/>
  <c r="L6" i="1"/>
  <c r="Q6" i="1" s="1"/>
  <c r="L7" i="1"/>
  <c r="Q7" i="1" s="1"/>
  <c r="L8" i="1"/>
  <c r="Q8" i="1" s="1"/>
  <c r="L9" i="1"/>
  <c r="Q9" i="1" s="1"/>
  <c r="L10" i="1"/>
  <c r="Q10" i="1" s="1"/>
  <c r="L11" i="1"/>
  <c r="Q11" i="1" s="1"/>
  <c r="L12" i="1"/>
  <c r="Q12" i="1" s="1"/>
  <c r="L13" i="1"/>
  <c r="Q13" i="1" s="1"/>
  <c r="L14" i="1"/>
  <c r="Q14" i="1" s="1"/>
  <c r="L15" i="1"/>
  <c r="Q15" i="1" s="1"/>
  <c r="L16" i="1"/>
  <c r="Q16" i="1" s="1"/>
  <c r="L17" i="1"/>
  <c r="Q17" i="1" s="1"/>
  <c r="L18" i="1"/>
  <c r="Q18" i="1" s="1"/>
  <c r="L19" i="1"/>
  <c r="Q19" i="1" s="1"/>
  <c r="L20" i="1"/>
  <c r="Q20" i="1" s="1"/>
  <c r="L21" i="1"/>
  <c r="Q21" i="1" s="1"/>
  <c r="L22" i="1"/>
  <c r="Q22" i="1" s="1"/>
  <c r="L23" i="1"/>
  <c r="Q23" i="1" s="1"/>
  <c r="L24" i="1"/>
  <c r="Q24" i="1" s="1"/>
  <c r="L25" i="1"/>
  <c r="Q25" i="1" s="1"/>
  <c r="L26" i="1"/>
  <c r="Q26" i="1" s="1"/>
  <c r="L27" i="1"/>
  <c r="Q27" i="1" s="1"/>
  <c r="L28" i="1"/>
  <c r="Q28" i="1" s="1"/>
  <c r="L29" i="1"/>
  <c r="Q29" i="1" s="1"/>
  <c r="L30" i="1"/>
  <c r="Q30" i="1" s="1"/>
  <c r="L31" i="1"/>
  <c r="Q31" i="1" s="1"/>
  <c r="L32" i="1"/>
  <c r="Q32" i="1" s="1"/>
  <c r="L33" i="1"/>
  <c r="Q33" i="1" s="1"/>
  <c r="L34" i="1"/>
  <c r="Q34" i="1" s="1"/>
  <c r="L35" i="1"/>
  <c r="Q35" i="1" s="1"/>
  <c r="L36" i="1"/>
  <c r="Q36" i="1" s="1"/>
  <c r="L37" i="1"/>
  <c r="Q37" i="1" s="1"/>
  <c r="L38" i="1"/>
  <c r="Q38" i="1" s="1"/>
  <c r="L39" i="1"/>
  <c r="Q39" i="1" s="1"/>
  <c r="L40" i="1"/>
  <c r="Q40" i="1" s="1"/>
  <c r="L41" i="1"/>
  <c r="Q41" i="1" s="1"/>
  <c r="L42" i="1"/>
  <c r="Q42" i="1" s="1"/>
  <c r="L43" i="1"/>
  <c r="Q43" i="1" s="1"/>
  <c r="L44" i="1"/>
  <c r="Q44" i="1" s="1"/>
  <c r="L45" i="1"/>
  <c r="Q45" i="1" s="1"/>
  <c r="L46" i="1"/>
  <c r="Q46" i="1" s="1"/>
  <c r="L47" i="1"/>
  <c r="Q47" i="1" s="1"/>
  <c r="L48" i="1"/>
  <c r="Q48" i="1" s="1"/>
  <c r="L49" i="1"/>
  <c r="Q49" i="1" s="1"/>
  <c r="L50" i="1"/>
  <c r="Q50" i="1" s="1"/>
  <c r="L51" i="1"/>
  <c r="Q51" i="1" s="1"/>
  <c r="L52" i="1"/>
  <c r="Q52" i="1" s="1"/>
  <c r="L53" i="1"/>
  <c r="Q53" i="1" s="1"/>
  <c r="L54" i="1"/>
  <c r="Q54" i="1" s="1"/>
  <c r="L55" i="1"/>
  <c r="Q55" i="1" s="1"/>
  <c r="L56" i="1"/>
  <c r="Q56" i="1" s="1"/>
  <c r="L57" i="1"/>
  <c r="Q57" i="1" s="1"/>
  <c r="L58" i="1"/>
  <c r="Q58" i="1" s="1"/>
  <c r="L59" i="1"/>
  <c r="Q59" i="1" s="1"/>
  <c r="L60" i="1"/>
  <c r="Q60" i="1" s="1"/>
  <c r="L61" i="1"/>
  <c r="Q61" i="1" s="1"/>
  <c r="L62" i="1"/>
  <c r="Q62" i="1" s="1"/>
  <c r="L63" i="1"/>
  <c r="Q63" i="1" s="1"/>
  <c r="L64" i="1"/>
  <c r="Q64" i="1" s="1"/>
  <c r="L65" i="1"/>
  <c r="Q65" i="1" s="1"/>
  <c r="L66" i="1"/>
  <c r="Q66" i="1" s="1"/>
  <c r="L67" i="1"/>
  <c r="Q67" i="1" s="1"/>
  <c r="L68" i="1"/>
  <c r="Q68" i="1" s="1"/>
  <c r="L69" i="1"/>
  <c r="Q69" i="1" s="1"/>
  <c r="L70" i="1"/>
  <c r="Q70" i="1" s="1"/>
  <c r="L71" i="1"/>
  <c r="Q71" i="1" s="1"/>
  <c r="L72" i="1"/>
  <c r="Q72" i="1" s="1"/>
  <c r="L73" i="1"/>
  <c r="Q73" i="1" s="1"/>
  <c r="L74" i="1"/>
  <c r="Q74" i="1" s="1"/>
  <c r="L75" i="1"/>
  <c r="Q75" i="1" s="1"/>
  <c r="L76" i="1"/>
  <c r="Q76" i="1" s="1"/>
  <c r="L77" i="1"/>
  <c r="Q77" i="1" s="1"/>
  <c r="L78" i="1"/>
  <c r="Q78" i="1" s="1"/>
  <c r="L79" i="1"/>
  <c r="Q79" i="1" s="1"/>
  <c r="L80" i="1"/>
  <c r="Q80" i="1" s="1"/>
  <c r="L81" i="1"/>
  <c r="Q81" i="1" s="1"/>
  <c r="L82" i="1"/>
  <c r="Q82" i="1" s="1"/>
  <c r="L83" i="1"/>
  <c r="Q83" i="1" s="1"/>
  <c r="L84" i="1"/>
  <c r="Q84" i="1" s="1"/>
  <c r="L85" i="1"/>
  <c r="Q85" i="1" s="1"/>
  <c r="L86" i="1"/>
  <c r="Q86" i="1" s="1"/>
  <c r="L87" i="1"/>
  <c r="Q87" i="1" s="1"/>
  <c r="L88" i="1"/>
  <c r="Q88" i="1" s="1"/>
  <c r="L89" i="1"/>
  <c r="Q89" i="1" s="1"/>
  <c r="L90" i="1"/>
  <c r="Q90" i="1" s="1"/>
  <c r="L91" i="1"/>
  <c r="Q91" i="1" s="1"/>
  <c r="L92" i="1"/>
  <c r="Q92" i="1" s="1"/>
  <c r="L93" i="1"/>
  <c r="Q93" i="1" s="1"/>
  <c r="L94" i="1"/>
  <c r="Q94" i="1" s="1"/>
  <c r="L95" i="1"/>
  <c r="Q95" i="1" s="1"/>
  <c r="L96" i="1"/>
  <c r="Q96" i="1" s="1"/>
  <c r="L97" i="1"/>
  <c r="Q97" i="1" s="1"/>
  <c r="L98" i="1"/>
  <c r="Q98" i="1" s="1"/>
  <c r="L99" i="1"/>
  <c r="Q99" i="1" s="1"/>
  <c r="L100" i="1"/>
  <c r="Q100" i="1" s="1"/>
  <c r="L101" i="1"/>
  <c r="Q101" i="1" s="1"/>
  <c r="L102" i="1"/>
  <c r="Q102" i="1" s="1"/>
  <c r="L103" i="1"/>
  <c r="Q103" i="1" s="1"/>
  <c r="L104" i="1"/>
  <c r="Q104" i="1" s="1"/>
  <c r="L105" i="1"/>
  <c r="Q105" i="1" s="1"/>
  <c r="L106" i="1"/>
  <c r="Q106" i="1" s="1"/>
  <c r="L107" i="1"/>
  <c r="Q107" i="1" s="1"/>
  <c r="L108" i="1"/>
  <c r="Q108" i="1" s="1"/>
  <c r="L109" i="1"/>
  <c r="Q109" i="1" s="1"/>
  <c r="L110" i="1"/>
  <c r="Q110" i="1" s="1"/>
  <c r="L111" i="1"/>
  <c r="Q111" i="1" s="1"/>
  <c r="L112" i="1"/>
  <c r="Q112" i="1" s="1"/>
  <c r="L113" i="1"/>
  <c r="Q113" i="1" s="1"/>
  <c r="L114" i="1"/>
  <c r="Q114" i="1" s="1"/>
  <c r="L115" i="1"/>
  <c r="Q115" i="1" s="1"/>
  <c r="L116" i="1"/>
  <c r="Q116" i="1" s="1"/>
  <c r="L117" i="1"/>
  <c r="Q117" i="1" s="1"/>
  <c r="L118" i="1"/>
  <c r="Q118" i="1" s="1"/>
  <c r="L119" i="1"/>
  <c r="Q119" i="1" s="1"/>
  <c r="L120" i="1"/>
  <c r="Q120" i="1" s="1"/>
  <c r="L121" i="1"/>
  <c r="Q121" i="1" s="1"/>
  <c r="L122" i="1"/>
  <c r="Q122" i="1" s="1"/>
  <c r="L123" i="1"/>
  <c r="Q123" i="1" s="1"/>
  <c r="L124" i="1"/>
  <c r="Q124" i="1" s="1"/>
  <c r="L125" i="1"/>
  <c r="Q125" i="1" s="1"/>
  <c r="L126" i="1"/>
  <c r="Q126" i="1" s="1"/>
  <c r="L127" i="1"/>
  <c r="Q127" i="1" s="1"/>
  <c r="L128" i="1"/>
  <c r="Q128" i="1" s="1"/>
  <c r="L129" i="1"/>
  <c r="Q129" i="1" s="1"/>
  <c r="L130" i="1"/>
  <c r="Q130" i="1" s="1"/>
  <c r="L131" i="1"/>
  <c r="Q131" i="1" s="1"/>
  <c r="L132" i="1"/>
  <c r="Q132" i="1" s="1"/>
  <c r="L133" i="1"/>
  <c r="Q133" i="1" s="1"/>
  <c r="L134" i="1"/>
  <c r="Q134" i="1" s="1"/>
  <c r="L135" i="1"/>
  <c r="Q135" i="1" s="1"/>
  <c r="L136" i="1"/>
  <c r="Q136" i="1" s="1"/>
  <c r="L137" i="1"/>
  <c r="Q137" i="1" s="1"/>
  <c r="L138" i="1"/>
  <c r="Q138" i="1" s="1"/>
  <c r="L139" i="1"/>
  <c r="Q139" i="1" s="1"/>
  <c r="L140" i="1"/>
  <c r="Q140" i="1" s="1"/>
  <c r="L141" i="1"/>
  <c r="Q141" i="1" s="1"/>
  <c r="L142" i="1"/>
  <c r="Q142" i="1" s="1"/>
  <c r="L143" i="1"/>
  <c r="Q143" i="1" s="1"/>
  <c r="L144" i="1"/>
  <c r="Q144" i="1" s="1"/>
  <c r="L145" i="1"/>
  <c r="Q145" i="1" s="1"/>
  <c r="L146" i="1"/>
  <c r="Q146" i="1" s="1"/>
  <c r="L147" i="1"/>
  <c r="Q147" i="1" s="1"/>
  <c r="L148" i="1"/>
  <c r="Q148" i="1" s="1"/>
  <c r="L149" i="1"/>
  <c r="Q149" i="1" s="1"/>
  <c r="L150" i="1"/>
  <c r="Q150" i="1" s="1"/>
  <c r="L151" i="1"/>
  <c r="Q151" i="1" s="1"/>
  <c r="L152" i="1"/>
  <c r="Q152" i="1" s="1"/>
  <c r="L153" i="1"/>
  <c r="Q153" i="1" s="1"/>
  <c r="L154" i="1"/>
  <c r="Q154" i="1" s="1"/>
  <c r="L155" i="1"/>
  <c r="Q155" i="1" s="1"/>
  <c r="L156" i="1"/>
  <c r="Q156" i="1" s="1"/>
  <c r="L157" i="1"/>
  <c r="Q157" i="1" s="1"/>
  <c r="L158" i="1"/>
  <c r="Q158" i="1" s="1"/>
  <c r="L2" i="1"/>
  <c r="Q2" i="1" s="1"/>
  <c r="O3" i="1"/>
  <c r="S3" i="1" s="1"/>
  <c r="U3" i="1" s="1"/>
  <c r="O4" i="1"/>
  <c r="O5" i="1"/>
  <c r="S5" i="1" s="1"/>
  <c r="U5" i="1" s="1"/>
  <c r="O6" i="1"/>
  <c r="O7" i="1"/>
  <c r="S7" i="1" s="1"/>
  <c r="U7" i="1" s="1"/>
  <c r="O8" i="1"/>
  <c r="S8" i="1" s="1"/>
  <c r="U8" i="1" s="1"/>
  <c r="O9" i="1"/>
  <c r="O10" i="1"/>
  <c r="S10" i="1" s="1"/>
  <c r="U10" i="1" s="1"/>
  <c r="O11" i="1"/>
  <c r="S11" i="1" s="1"/>
  <c r="U11" i="1" s="1"/>
  <c r="O12" i="1"/>
  <c r="S12" i="1" s="1"/>
  <c r="U12" i="1" s="1"/>
  <c r="O13" i="1"/>
  <c r="S13" i="1" s="1"/>
  <c r="U13" i="1" s="1"/>
  <c r="O14" i="1"/>
  <c r="O15" i="1"/>
  <c r="O16" i="1"/>
  <c r="S16" i="1" s="1"/>
  <c r="U16" i="1" s="1"/>
  <c r="O17" i="1"/>
  <c r="O18" i="1"/>
  <c r="O19" i="1"/>
  <c r="S19" i="1" s="1"/>
  <c r="U19" i="1" s="1"/>
  <c r="O20" i="1"/>
  <c r="O21" i="1"/>
  <c r="S21" i="1" s="1"/>
  <c r="U21" i="1" s="1"/>
  <c r="O22" i="1"/>
  <c r="O23" i="1"/>
  <c r="S23" i="1" s="1"/>
  <c r="U23" i="1" s="1"/>
  <c r="O24" i="1"/>
  <c r="S24" i="1" s="1"/>
  <c r="U24" i="1" s="1"/>
  <c r="O25" i="1"/>
  <c r="O26" i="1"/>
  <c r="S26" i="1" s="1"/>
  <c r="U26" i="1" s="1"/>
  <c r="O27" i="1"/>
  <c r="S27" i="1" s="1"/>
  <c r="U27" i="1" s="1"/>
  <c r="O28" i="1"/>
  <c r="S28" i="1" s="1"/>
  <c r="U28" i="1" s="1"/>
  <c r="O29" i="1"/>
  <c r="S29" i="1" s="1"/>
  <c r="U29" i="1" s="1"/>
  <c r="O30" i="1"/>
  <c r="O31" i="1"/>
  <c r="O32" i="1"/>
  <c r="S32" i="1" s="1"/>
  <c r="U32" i="1" s="1"/>
  <c r="O33" i="1"/>
  <c r="O34" i="1"/>
  <c r="O35" i="1"/>
  <c r="S35" i="1" s="1"/>
  <c r="U35" i="1" s="1"/>
  <c r="O36" i="1"/>
  <c r="O37" i="1"/>
  <c r="S37" i="1" s="1"/>
  <c r="U37" i="1" s="1"/>
  <c r="O38" i="1"/>
  <c r="O39" i="1"/>
  <c r="S39" i="1" s="1"/>
  <c r="U39" i="1" s="1"/>
  <c r="O40" i="1"/>
  <c r="S40" i="1" s="1"/>
  <c r="U40" i="1" s="1"/>
  <c r="O41" i="1"/>
  <c r="O42" i="1"/>
  <c r="S42" i="1" s="1"/>
  <c r="U42" i="1" s="1"/>
  <c r="O43" i="1"/>
  <c r="S43" i="1" s="1"/>
  <c r="U43" i="1" s="1"/>
  <c r="O44" i="1"/>
  <c r="S44" i="1" s="1"/>
  <c r="U44" i="1" s="1"/>
  <c r="O45" i="1"/>
  <c r="S45" i="1" s="1"/>
  <c r="U45" i="1" s="1"/>
  <c r="O46" i="1"/>
  <c r="O47" i="1"/>
  <c r="O48" i="1"/>
  <c r="S48" i="1" s="1"/>
  <c r="U48" i="1" s="1"/>
  <c r="O49" i="1"/>
  <c r="O50" i="1"/>
  <c r="O51" i="1"/>
  <c r="S51" i="1" s="1"/>
  <c r="U51" i="1" s="1"/>
  <c r="O52" i="1"/>
  <c r="O53" i="1"/>
  <c r="S53" i="1" s="1"/>
  <c r="U53" i="1" s="1"/>
  <c r="O54" i="1"/>
  <c r="O55" i="1"/>
  <c r="S55" i="1" s="1"/>
  <c r="U55" i="1" s="1"/>
  <c r="O56" i="1"/>
  <c r="S56" i="1" s="1"/>
  <c r="U56" i="1" s="1"/>
  <c r="O57" i="1"/>
  <c r="O58" i="1"/>
  <c r="S58" i="1" s="1"/>
  <c r="U58" i="1" s="1"/>
  <c r="O59" i="1"/>
  <c r="S59" i="1" s="1"/>
  <c r="U59" i="1" s="1"/>
  <c r="O60" i="1"/>
  <c r="S60" i="1" s="1"/>
  <c r="U60" i="1" s="1"/>
  <c r="O61" i="1"/>
  <c r="S61" i="1" s="1"/>
  <c r="U61" i="1" s="1"/>
  <c r="O62" i="1"/>
  <c r="O63" i="1"/>
  <c r="O64" i="1"/>
  <c r="S64" i="1" s="1"/>
  <c r="U64" i="1" s="1"/>
  <c r="O65" i="1"/>
  <c r="O66" i="1"/>
  <c r="O67" i="1"/>
  <c r="S67" i="1" s="1"/>
  <c r="U67" i="1" s="1"/>
  <c r="O68" i="1"/>
  <c r="O69" i="1"/>
  <c r="S69" i="1" s="1"/>
  <c r="U69" i="1" s="1"/>
  <c r="O70" i="1"/>
  <c r="O71" i="1"/>
  <c r="S71" i="1" s="1"/>
  <c r="U71" i="1" s="1"/>
  <c r="O72" i="1"/>
  <c r="S72" i="1" s="1"/>
  <c r="U72" i="1" s="1"/>
  <c r="O73" i="1"/>
  <c r="O74" i="1"/>
  <c r="S74" i="1" s="1"/>
  <c r="U74" i="1" s="1"/>
  <c r="O75" i="1"/>
  <c r="S75" i="1" s="1"/>
  <c r="U75" i="1" s="1"/>
  <c r="O76" i="1"/>
  <c r="S76" i="1" s="1"/>
  <c r="U76" i="1" s="1"/>
  <c r="O77" i="1"/>
  <c r="S77" i="1" s="1"/>
  <c r="U77" i="1" s="1"/>
  <c r="O78" i="1"/>
  <c r="O79" i="1"/>
  <c r="O80" i="1"/>
  <c r="S80" i="1" s="1"/>
  <c r="U80" i="1" s="1"/>
  <c r="O81" i="1"/>
  <c r="O82" i="1"/>
  <c r="O83" i="1"/>
  <c r="S83" i="1" s="1"/>
  <c r="U83" i="1" s="1"/>
  <c r="O84" i="1"/>
  <c r="O85" i="1"/>
  <c r="S85" i="1" s="1"/>
  <c r="U85" i="1" s="1"/>
  <c r="O86" i="1"/>
  <c r="O87" i="1"/>
  <c r="S87" i="1" s="1"/>
  <c r="U87" i="1" s="1"/>
  <c r="O88" i="1"/>
  <c r="S88" i="1" s="1"/>
  <c r="U88" i="1" s="1"/>
  <c r="O89" i="1"/>
  <c r="O90" i="1"/>
  <c r="S90" i="1" s="1"/>
  <c r="U90" i="1" s="1"/>
  <c r="O91" i="1"/>
  <c r="S91" i="1" s="1"/>
  <c r="U91" i="1" s="1"/>
  <c r="O92" i="1"/>
  <c r="S92" i="1" s="1"/>
  <c r="U92" i="1" s="1"/>
  <c r="O93" i="1"/>
  <c r="S93" i="1" s="1"/>
  <c r="U93" i="1" s="1"/>
  <c r="O94" i="1"/>
  <c r="O95" i="1"/>
  <c r="O96" i="1"/>
  <c r="S96" i="1" s="1"/>
  <c r="U96" i="1" s="1"/>
  <c r="O97" i="1"/>
  <c r="O98" i="1"/>
  <c r="O99" i="1"/>
  <c r="S99" i="1" s="1"/>
  <c r="U99" i="1" s="1"/>
  <c r="O100" i="1"/>
  <c r="O101" i="1"/>
  <c r="S101" i="1" s="1"/>
  <c r="U101" i="1" s="1"/>
  <c r="O102" i="1"/>
  <c r="O103" i="1"/>
  <c r="S103" i="1" s="1"/>
  <c r="U103" i="1" s="1"/>
  <c r="O104" i="1"/>
  <c r="S104" i="1" s="1"/>
  <c r="U104" i="1" s="1"/>
  <c r="O105" i="1"/>
  <c r="O106" i="1"/>
  <c r="S106" i="1" s="1"/>
  <c r="U106" i="1" s="1"/>
  <c r="O107" i="1"/>
  <c r="S107" i="1" s="1"/>
  <c r="U107" i="1" s="1"/>
  <c r="O108" i="1"/>
  <c r="S108" i="1" s="1"/>
  <c r="U108" i="1" s="1"/>
  <c r="O109" i="1"/>
  <c r="S109" i="1" s="1"/>
  <c r="U109" i="1" s="1"/>
  <c r="O110" i="1"/>
  <c r="O111" i="1"/>
  <c r="O112" i="1"/>
  <c r="S112" i="1" s="1"/>
  <c r="U112" i="1" s="1"/>
  <c r="O113" i="1"/>
  <c r="O114" i="1"/>
  <c r="O115" i="1"/>
  <c r="S115" i="1" s="1"/>
  <c r="U115" i="1" s="1"/>
  <c r="O116" i="1"/>
  <c r="O117" i="1"/>
  <c r="S117" i="1" s="1"/>
  <c r="U117" i="1" s="1"/>
  <c r="O118" i="1"/>
  <c r="O119" i="1"/>
  <c r="S119" i="1" s="1"/>
  <c r="U119" i="1" s="1"/>
  <c r="O120" i="1"/>
  <c r="S120" i="1" s="1"/>
  <c r="U120" i="1" s="1"/>
  <c r="O121" i="1"/>
  <c r="O122" i="1"/>
  <c r="S122" i="1" s="1"/>
  <c r="U122" i="1" s="1"/>
  <c r="O123" i="1"/>
  <c r="S123" i="1" s="1"/>
  <c r="U123" i="1" s="1"/>
  <c r="O124" i="1"/>
  <c r="S124" i="1" s="1"/>
  <c r="U124" i="1" s="1"/>
  <c r="O125" i="1"/>
  <c r="S125" i="1" s="1"/>
  <c r="U125" i="1" s="1"/>
  <c r="O126" i="1"/>
  <c r="O127" i="1"/>
  <c r="O128" i="1"/>
  <c r="S128" i="1" s="1"/>
  <c r="U128" i="1" s="1"/>
  <c r="O129" i="1"/>
  <c r="O130" i="1"/>
  <c r="O131" i="1"/>
  <c r="S131" i="1" s="1"/>
  <c r="U131" i="1" s="1"/>
  <c r="O132" i="1"/>
  <c r="O133" i="1"/>
  <c r="S133" i="1" s="1"/>
  <c r="U133" i="1" s="1"/>
  <c r="O134" i="1"/>
  <c r="O135" i="1"/>
  <c r="S135" i="1" s="1"/>
  <c r="U135" i="1" s="1"/>
  <c r="O136" i="1"/>
  <c r="S136" i="1" s="1"/>
  <c r="U136" i="1" s="1"/>
  <c r="O137" i="1"/>
  <c r="O138" i="1"/>
  <c r="S138" i="1" s="1"/>
  <c r="U138" i="1" s="1"/>
  <c r="O139" i="1"/>
  <c r="S139" i="1" s="1"/>
  <c r="U139" i="1" s="1"/>
  <c r="O140" i="1"/>
  <c r="S140" i="1" s="1"/>
  <c r="U140" i="1" s="1"/>
  <c r="O141" i="1"/>
  <c r="S141" i="1" s="1"/>
  <c r="U141" i="1" s="1"/>
  <c r="O142" i="1"/>
  <c r="O143" i="1"/>
  <c r="O144" i="1"/>
  <c r="S144" i="1" s="1"/>
  <c r="U144" i="1" s="1"/>
  <c r="O145" i="1"/>
  <c r="O146" i="1"/>
  <c r="O147" i="1"/>
  <c r="S147" i="1" s="1"/>
  <c r="U147" i="1" s="1"/>
  <c r="O148" i="1"/>
  <c r="O149" i="1"/>
  <c r="S149" i="1" s="1"/>
  <c r="U149" i="1" s="1"/>
  <c r="O150" i="1"/>
  <c r="O151" i="1"/>
  <c r="S151" i="1" s="1"/>
  <c r="U151" i="1" s="1"/>
  <c r="O152" i="1"/>
  <c r="S152" i="1" s="1"/>
  <c r="U152" i="1" s="1"/>
  <c r="O153" i="1"/>
  <c r="O154" i="1"/>
  <c r="S154" i="1" s="1"/>
  <c r="U154" i="1" s="1"/>
  <c r="O155" i="1"/>
  <c r="S155" i="1" s="1"/>
  <c r="U155" i="1" s="1"/>
  <c r="O156" i="1"/>
  <c r="S156" i="1" s="1"/>
  <c r="U156" i="1" s="1"/>
  <c r="O157" i="1"/>
  <c r="S157" i="1" s="1"/>
  <c r="U157" i="1" s="1"/>
  <c r="O158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S14" i="1" s="1"/>
  <c r="U14" i="1" s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S30" i="1" s="1"/>
  <c r="U30" i="1" s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S46" i="1" s="1"/>
  <c r="U46" i="1" s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S62" i="1" s="1"/>
  <c r="U62" i="1" s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S78" i="1" s="1"/>
  <c r="U78" i="1" s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S94" i="1" s="1"/>
  <c r="U94" i="1" s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S110" i="1" s="1"/>
  <c r="U110" i="1" s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S126" i="1" s="1"/>
  <c r="U126" i="1" s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S142" i="1" s="1"/>
  <c r="U142" i="1" s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S158" i="1" s="1"/>
  <c r="U158" i="1" s="1"/>
  <c r="P2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S43" i="5" l="1"/>
  <c r="U43" i="5" s="1"/>
  <c r="U2" i="1"/>
  <c r="S140" i="5"/>
  <c r="U140" i="5" s="1"/>
  <c r="S154" i="5"/>
  <c r="U154" i="5" s="1"/>
  <c r="S77" i="5"/>
  <c r="U77" i="5" s="1"/>
  <c r="S104" i="6"/>
  <c r="U104" i="6" s="1"/>
  <c r="S4" i="7"/>
  <c r="U4" i="7" s="1"/>
  <c r="S30" i="7"/>
  <c r="U30" i="7" s="1"/>
  <c r="S46" i="7"/>
  <c r="U46" i="7" s="1"/>
  <c r="S62" i="7"/>
  <c r="U62" i="7" s="1"/>
  <c r="S82" i="7"/>
  <c r="U82" i="7" s="1"/>
  <c r="S114" i="7"/>
  <c r="U114" i="7" s="1"/>
  <c r="S63" i="6"/>
  <c r="U63" i="6" s="1"/>
  <c r="S68" i="6"/>
  <c r="U68" i="6" s="1"/>
  <c r="S120" i="6"/>
  <c r="U120" i="6" s="1"/>
  <c r="S25" i="7"/>
  <c r="U25" i="7" s="1"/>
  <c r="S41" i="7"/>
  <c r="U41" i="7" s="1"/>
  <c r="S57" i="7"/>
  <c r="U57" i="7" s="1"/>
  <c r="S73" i="7"/>
  <c r="U73" i="7" s="1"/>
  <c r="S133" i="7"/>
  <c r="U133" i="7" s="1"/>
  <c r="S137" i="7"/>
  <c r="U137" i="7" s="1"/>
  <c r="S149" i="5"/>
  <c r="U149" i="5" s="1"/>
  <c r="S105" i="5"/>
  <c r="U105" i="5" s="1"/>
  <c r="S150" i="5"/>
  <c r="U150" i="5" s="1"/>
  <c r="S50" i="5"/>
  <c r="U50" i="5" s="1"/>
  <c r="S100" i="5"/>
  <c r="U100" i="5" s="1"/>
  <c r="S109" i="5"/>
  <c r="U109" i="5" s="1"/>
  <c r="S123" i="5"/>
  <c r="U123" i="5" s="1"/>
  <c r="S146" i="5"/>
  <c r="U146" i="5" s="1"/>
  <c r="S5" i="7"/>
  <c r="U5" i="7" s="1"/>
  <c r="S3" i="5"/>
  <c r="U3" i="5" s="1"/>
  <c r="S41" i="5"/>
  <c r="U41" i="5" s="1"/>
  <c r="S33" i="5"/>
  <c r="U33" i="5" s="1"/>
  <c r="S142" i="5"/>
  <c r="U142" i="5" s="1"/>
  <c r="S23" i="6"/>
  <c r="U23" i="6" s="1"/>
  <c r="S96" i="6"/>
  <c r="U96" i="6" s="1"/>
  <c r="S21" i="7"/>
  <c r="U21" i="7" s="1"/>
  <c r="S32" i="7"/>
  <c r="U32" i="7" s="1"/>
  <c r="S48" i="7"/>
  <c r="U48" i="7" s="1"/>
  <c r="S64" i="7"/>
  <c r="U64" i="7" s="1"/>
  <c r="S93" i="7"/>
  <c r="U93" i="7" s="1"/>
  <c r="S97" i="5"/>
  <c r="U97" i="5" s="1"/>
  <c r="S115" i="5"/>
  <c r="U115" i="5" s="1"/>
  <c r="S8" i="6"/>
  <c r="U8" i="6" s="1"/>
  <c r="S39" i="6"/>
  <c r="U39" i="6" s="1"/>
  <c r="S16" i="7"/>
  <c r="U16" i="7" s="1"/>
  <c r="S27" i="7"/>
  <c r="U27" i="7" s="1"/>
  <c r="S43" i="7"/>
  <c r="U43" i="7" s="1"/>
  <c r="S59" i="7"/>
  <c r="U59" i="7" s="1"/>
  <c r="S130" i="7"/>
  <c r="U130" i="7" s="1"/>
  <c r="S52" i="5"/>
  <c r="U52" i="5" s="1"/>
  <c r="S56" i="5"/>
  <c r="U56" i="5" s="1"/>
  <c r="S134" i="5"/>
  <c r="U134" i="5" s="1"/>
  <c r="S147" i="5"/>
  <c r="U147" i="5" s="1"/>
  <c r="S128" i="6"/>
  <c r="U128" i="6" s="1"/>
  <c r="S17" i="7"/>
  <c r="U17" i="7" s="1"/>
  <c r="S33" i="7"/>
  <c r="U33" i="7" s="1"/>
  <c r="S49" i="7"/>
  <c r="U49" i="7" s="1"/>
  <c r="S65" i="7"/>
  <c r="U65" i="7" s="1"/>
  <c r="S40" i="6"/>
  <c r="U40" i="6" s="1"/>
  <c r="S71" i="6"/>
  <c r="U71" i="6" s="1"/>
  <c r="S149" i="6"/>
  <c r="U149" i="6" s="1"/>
  <c r="S28" i="7"/>
  <c r="U28" i="7" s="1"/>
  <c r="S44" i="7"/>
  <c r="U44" i="7" s="1"/>
  <c r="S60" i="7"/>
  <c r="U60" i="7" s="1"/>
  <c r="S89" i="5"/>
  <c r="U89" i="5" s="1"/>
  <c r="S121" i="5"/>
  <c r="U121" i="5" s="1"/>
  <c r="S30" i="6"/>
  <c r="U30" i="6" s="1"/>
  <c r="S56" i="6"/>
  <c r="U56" i="6" s="1"/>
  <c r="S39" i="7"/>
  <c r="U39" i="7" s="1"/>
  <c r="S55" i="7"/>
  <c r="U55" i="7" s="1"/>
  <c r="S71" i="7"/>
  <c r="U71" i="7" s="1"/>
  <c r="S71" i="5"/>
  <c r="U71" i="5" s="1"/>
  <c r="S18" i="7"/>
  <c r="U18" i="7" s="1"/>
  <c r="S34" i="7"/>
  <c r="U34" i="7" s="1"/>
  <c r="S50" i="7"/>
  <c r="U50" i="7" s="1"/>
  <c r="S66" i="7"/>
  <c r="U66" i="7" s="1"/>
  <c r="S90" i="7"/>
  <c r="U90" i="7" s="1"/>
  <c r="S122" i="7"/>
  <c r="U122" i="7" s="1"/>
  <c r="S131" i="5"/>
  <c r="U131" i="5" s="1"/>
  <c r="S15" i="6"/>
  <c r="U15" i="6" s="1"/>
  <c r="S36" i="6"/>
  <c r="U36" i="6" s="1"/>
  <c r="S88" i="6"/>
  <c r="U88" i="6" s="1"/>
  <c r="S24" i="7"/>
  <c r="U24" i="7" s="1"/>
  <c r="S40" i="7"/>
  <c r="U40" i="7" s="1"/>
  <c r="S56" i="7"/>
  <c r="U56" i="7" s="1"/>
  <c r="S72" i="7"/>
  <c r="U72" i="7" s="1"/>
  <c r="S77" i="7"/>
  <c r="U77" i="7" s="1"/>
  <c r="S35" i="5"/>
  <c r="U35" i="5" s="1"/>
  <c r="S67" i="5"/>
  <c r="U67" i="5" s="1"/>
  <c r="S76" i="5"/>
  <c r="U76" i="5" s="1"/>
  <c r="S81" i="5"/>
  <c r="U81" i="5" s="1"/>
  <c r="S99" i="5"/>
  <c r="U99" i="5" s="1"/>
  <c r="S113" i="5"/>
  <c r="U113" i="5" s="1"/>
  <c r="S6" i="6"/>
  <c r="U6" i="6" s="1"/>
  <c r="S35" i="7"/>
  <c r="U35" i="7" s="1"/>
  <c r="S51" i="7"/>
  <c r="U51" i="7" s="1"/>
  <c r="S67" i="7"/>
  <c r="U67" i="7" s="1"/>
  <c r="S81" i="7"/>
  <c r="U81" i="7" s="1"/>
  <c r="S113" i="7"/>
  <c r="U113" i="7" s="1"/>
  <c r="S99" i="7"/>
  <c r="U99" i="7" s="1"/>
  <c r="S20" i="7"/>
  <c r="U20" i="7" s="1"/>
  <c r="S100" i="7"/>
  <c r="U100" i="7" s="1"/>
  <c r="S135" i="7"/>
  <c r="U135" i="7" s="1"/>
  <c r="S117" i="7"/>
  <c r="U117" i="7" s="1"/>
  <c r="S79" i="7"/>
  <c r="U79" i="7" s="1"/>
  <c r="S95" i="7"/>
  <c r="U95" i="7" s="1"/>
  <c r="S88" i="7"/>
  <c r="U88" i="7" s="1"/>
  <c r="S102" i="7"/>
  <c r="U102" i="7" s="1"/>
  <c r="S11" i="7"/>
  <c r="U11" i="7" s="1"/>
  <c r="S75" i="7"/>
  <c r="U75" i="7" s="1"/>
  <c r="S87" i="7"/>
  <c r="U87" i="7" s="1"/>
  <c r="S80" i="7"/>
  <c r="U80" i="7" s="1"/>
  <c r="S85" i="7"/>
  <c r="U85" i="7" s="1"/>
  <c r="S23" i="7"/>
  <c r="U23" i="7" s="1"/>
  <c r="S111" i="7"/>
  <c r="U111" i="7" s="1"/>
  <c r="S115" i="7"/>
  <c r="U115" i="7" s="1"/>
  <c r="S127" i="7"/>
  <c r="U127" i="7" s="1"/>
  <c r="S131" i="7"/>
  <c r="U131" i="7" s="1"/>
  <c r="S104" i="7"/>
  <c r="U104" i="7" s="1"/>
  <c r="S109" i="7"/>
  <c r="U109" i="7" s="1"/>
  <c r="S120" i="7"/>
  <c r="U120" i="7" s="1"/>
  <c r="S19" i="7"/>
  <c r="U19" i="7" s="1"/>
  <c r="S76" i="7"/>
  <c r="U76" i="7" s="1"/>
  <c r="S103" i="7"/>
  <c r="U103" i="7" s="1"/>
  <c r="S7" i="7"/>
  <c r="U7" i="7" s="1"/>
  <c r="S101" i="7"/>
  <c r="U101" i="7" s="1"/>
  <c r="S128" i="7"/>
  <c r="U128" i="7" s="1"/>
  <c r="S12" i="6"/>
  <c r="U12" i="6" s="1"/>
  <c r="S80" i="6"/>
  <c r="U80" i="6" s="1"/>
  <c r="S112" i="6"/>
  <c r="U112" i="6" s="1"/>
  <c r="S134" i="6"/>
  <c r="U134" i="6" s="1"/>
  <c r="S10" i="6"/>
  <c r="U10" i="6" s="1"/>
  <c r="S43" i="6"/>
  <c r="U43" i="6" s="1"/>
  <c r="S48" i="6"/>
  <c r="U48" i="6" s="1"/>
  <c r="S75" i="6"/>
  <c r="U75" i="6" s="1"/>
  <c r="S100" i="6"/>
  <c r="U100" i="6" s="1"/>
  <c r="S107" i="6"/>
  <c r="U107" i="6" s="1"/>
  <c r="S157" i="6"/>
  <c r="U157" i="6" s="1"/>
  <c r="S31" i="6"/>
  <c r="U31" i="6" s="1"/>
  <c r="S145" i="6"/>
  <c r="U145" i="6" s="1"/>
  <c r="S24" i="6"/>
  <c r="U24" i="6" s="1"/>
  <c r="S32" i="6"/>
  <c r="U32" i="6" s="1"/>
  <c r="S59" i="6"/>
  <c r="U59" i="6" s="1"/>
  <c r="S64" i="6"/>
  <c r="U64" i="6" s="1"/>
  <c r="S84" i="6"/>
  <c r="U84" i="6" s="1"/>
  <c r="S91" i="6"/>
  <c r="U91" i="6" s="1"/>
  <c r="S116" i="6"/>
  <c r="U116" i="6" s="1"/>
  <c r="S123" i="6"/>
  <c r="U123" i="6" s="1"/>
  <c r="S47" i="6"/>
  <c r="U47" i="6" s="1"/>
  <c r="S52" i="6"/>
  <c r="U52" i="6" s="1"/>
  <c r="S141" i="6"/>
  <c r="U141" i="6" s="1"/>
  <c r="S14" i="6"/>
  <c r="U14" i="6" s="1"/>
  <c r="S7" i="6"/>
  <c r="U7" i="6" s="1"/>
  <c r="S9" i="6"/>
  <c r="U9" i="6" s="1"/>
  <c r="S11" i="6"/>
  <c r="U11" i="6" s="1"/>
  <c r="S13" i="6"/>
  <c r="U13" i="6" s="1"/>
  <c r="S29" i="6"/>
  <c r="U29" i="6" s="1"/>
  <c r="S35" i="6"/>
  <c r="U35" i="6" s="1"/>
  <c r="S51" i="6"/>
  <c r="U51" i="6" s="1"/>
  <c r="S67" i="6"/>
  <c r="U67" i="6" s="1"/>
  <c r="S83" i="6"/>
  <c r="U83" i="6" s="1"/>
  <c r="S99" i="6"/>
  <c r="U99" i="6" s="1"/>
  <c r="S115" i="6"/>
  <c r="U115" i="6" s="1"/>
  <c r="S131" i="6"/>
  <c r="U131" i="6" s="1"/>
  <c r="S133" i="6"/>
  <c r="U133" i="6" s="1"/>
  <c r="S150" i="6"/>
  <c r="U150" i="6" s="1"/>
  <c r="S5" i="6"/>
  <c r="U5" i="6" s="1"/>
  <c r="S140" i="6"/>
  <c r="U140" i="6" s="1"/>
  <c r="S16" i="6"/>
  <c r="U16" i="6" s="1"/>
  <c r="S25" i="6"/>
  <c r="U25" i="6" s="1"/>
  <c r="S98" i="6"/>
  <c r="U98" i="6" s="1"/>
  <c r="S139" i="6"/>
  <c r="U139" i="6" s="1"/>
  <c r="S19" i="6"/>
  <c r="U19" i="6" s="1"/>
  <c r="S46" i="6"/>
  <c r="U46" i="6" s="1"/>
  <c r="S62" i="6"/>
  <c r="U62" i="6" s="1"/>
  <c r="S87" i="6"/>
  <c r="U87" i="6" s="1"/>
  <c r="S142" i="6"/>
  <c r="U142" i="6" s="1"/>
  <c r="S44" i="6"/>
  <c r="U44" i="6" s="1"/>
  <c r="S60" i="6"/>
  <c r="U60" i="6" s="1"/>
  <c r="S76" i="6"/>
  <c r="U76" i="6" s="1"/>
  <c r="S92" i="6"/>
  <c r="U92" i="6" s="1"/>
  <c r="S108" i="6"/>
  <c r="U108" i="6" s="1"/>
  <c r="S124" i="6"/>
  <c r="U124" i="6" s="1"/>
  <c r="S42" i="6"/>
  <c r="U42" i="6" s="1"/>
  <c r="S58" i="6"/>
  <c r="U58" i="6" s="1"/>
  <c r="S74" i="6"/>
  <c r="U74" i="6" s="1"/>
  <c r="S106" i="6"/>
  <c r="U106" i="6" s="1"/>
  <c r="S122" i="6"/>
  <c r="U122" i="6" s="1"/>
  <c r="S155" i="6"/>
  <c r="U155" i="6" s="1"/>
  <c r="S148" i="6"/>
  <c r="U148" i="6" s="1"/>
  <c r="S86" i="6"/>
  <c r="U86" i="6" s="1"/>
  <c r="S102" i="6"/>
  <c r="U102" i="6" s="1"/>
  <c r="S57" i="6"/>
  <c r="U57" i="6" s="1"/>
  <c r="S73" i="6"/>
  <c r="U73" i="6" s="1"/>
  <c r="S66" i="6"/>
  <c r="U66" i="6" s="1"/>
  <c r="S109" i="6"/>
  <c r="U109" i="6" s="1"/>
  <c r="S143" i="6"/>
  <c r="U143" i="6" s="1"/>
  <c r="S26" i="6"/>
  <c r="U26" i="6" s="1"/>
  <c r="S69" i="6"/>
  <c r="U69" i="6" s="1"/>
  <c r="S94" i="6"/>
  <c r="U94" i="6" s="1"/>
  <c r="S110" i="6"/>
  <c r="U110" i="6" s="1"/>
  <c r="S132" i="6"/>
  <c r="U132" i="6" s="1"/>
  <c r="S95" i="6"/>
  <c r="U95" i="6" s="1"/>
  <c r="S111" i="6"/>
  <c r="U111" i="6" s="1"/>
  <c r="S34" i="6"/>
  <c r="U34" i="6" s="1"/>
  <c r="S50" i="6"/>
  <c r="U50" i="6" s="1"/>
  <c r="S119" i="6"/>
  <c r="U119" i="6" s="1"/>
  <c r="S21" i="6"/>
  <c r="U21" i="6" s="1"/>
  <c r="S28" i="6"/>
  <c r="U28" i="6" s="1"/>
  <c r="S41" i="6"/>
  <c r="U41" i="6" s="1"/>
  <c r="S82" i="6"/>
  <c r="U82" i="6" s="1"/>
  <c r="S93" i="6"/>
  <c r="U93" i="6" s="1"/>
  <c r="S117" i="6"/>
  <c r="U117" i="6" s="1"/>
  <c r="S130" i="6"/>
  <c r="U130" i="6" s="1"/>
  <c r="S136" i="6"/>
  <c r="U136" i="6" s="1"/>
  <c r="S152" i="6"/>
  <c r="U152" i="6" s="1"/>
  <c r="S17" i="6"/>
  <c r="U17" i="6" s="1"/>
  <c r="S37" i="6"/>
  <c r="U37" i="6" s="1"/>
  <c r="S53" i="6"/>
  <c r="U53" i="6" s="1"/>
  <c r="S20" i="6"/>
  <c r="U20" i="6" s="1"/>
  <c r="S78" i="6"/>
  <c r="U78" i="6" s="1"/>
  <c r="S85" i="6"/>
  <c r="U85" i="6" s="1"/>
  <c r="S126" i="6"/>
  <c r="U126" i="6" s="1"/>
  <c r="S4" i="6"/>
  <c r="U4" i="6" s="1"/>
  <c r="S103" i="6"/>
  <c r="U103" i="6" s="1"/>
  <c r="S114" i="6"/>
  <c r="U114" i="6" s="1"/>
  <c r="S38" i="6"/>
  <c r="U38" i="6" s="1"/>
  <c r="S54" i="6"/>
  <c r="U54" i="6" s="1"/>
  <c r="S70" i="6"/>
  <c r="U70" i="6" s="1"/>
  <c r="S79" i="6"/>
  <c r="U79" i="6" s="1"/>
  <c r="S90" i="6"/>
  <c r="U90" i="6" s="1"/>
  <c r="S101" i="6"/>
  <c r="U101" i="6" s="1"/>
  <c r="S118" i="6"/>
  <c r="U118" i="6" s="1"/>
  <c r="S127" i="6"/>
  <c r="U127" i="6" s="1"/>
  <c r="S147" i="6"/>
  <c r="U147" i="6" s="1"/>
  <c r="S77" i="6"/>
  <c r="U77" i="6" s="1"/>
  <c r="S125" i="6"/>
  <c r="U125" i="6" s="1"/>
  <c r="S156" i="6"/>
  <c r="U156" i="6" s="1"/>
  <c r="S65" i="5"/>
  <c r="U65" i="5" s="1"/>
  <c r="S78" i="5"/>
  <c r="U78" i="5" s="1"/>
  <c r="S32" i="5"/>
  <c r="U32" i="5" s="1"/>
  <c r="S54" i="5"/>
  <c r="U54" i="5" s="1"/>
  <c r="S83" i="5"/>
  <c r="U83" i="5" s="1"/>
  <c r="S48" i="5"/>
  <c r="U48" i="5" s="1"/>
  <c r="S107" i="5"/>
  <c r="U107" i="5" s="1"/>
  <c r="S132" i="5"/>
  <c r="U132" i="5" s="1"/>
  <c r="S45" i="5"/>
  <c r="U45" i="5" s="1"/>
  <c r="S70" i="5"/>
  <c r="U70" i="5" s="1"/>
  <c r="S110" i="5"/>
  <c r="U110" i="5" s="1"/>
  <c r="S59" i="5"/>
  <c r="U59" i="5" s="1"/>
  <c r="S75" i="5"/>
  <c r="U75" i="5" s="1"/>
  <c r="S143" i="5"/>
  <c r="U143" i="5" s="1"/>
  <c r="S102" i="5"/>
  <c r="U102" i="5" s="1"/>
  <c r="S129" i="5"/>
  <c r="U129" i="5" s="1"/>
  <c r="S94" i="5"/>
  <c r="U94" i="5" s="1"/>
  <c r="S86" i="5"/>
  <c r="U86" i="5" s="1"/>
  <c r="S118" i="5"/>
  <c r="U118" i="5" s="1"/>
  <c r="S127" i="5"/>
  <c r="U127" i="5" s="1"/>
  <c r="S6" i="5"/>
  <c r="U6" i="5" s="1"/>
  <c r="S40" i="5"/>
  <c r="U40" i="5" s="1"/>
  <c r="S55" i="5"/>
  <c r="U55" i="5" s="1"/>
  <c r="S91" i="5"/>
  <c r="U91" i="5" s="1"/>
  <c r="S155" i="5"/>
  <c r="U155" i="5" s="1"/>
  <c r="S78" i="7"/>
  <c r="U78" i="7" s="1"/>
  <c r="S83" i="7"/>
  <c r="U83" i="7" s="1"/>
  <c r="S6" i="7"/>
  <c r="U6" i="7" s="1"/>
  <c r="S10" i="7"/>
  <c r="U10" i="7" s="1"/>
  <c r="S14" i="7"/>
  <c r="U14" i="7" s="1"/>
  <c r="S91" i="7"/>
  <c r="U91" i="7" s="1"/>
  <c r="S108" i="7"/>
  <c r="U108" i="7" s="1"/>
  <c r="S123" i="7"/>
  <c r="U123" i="7" s="1"/>
  <c r="S125" i="7"/>
  <c r="U125" i="7" s="1"/>
  <c r="S110" i="7"/>
  <c r="U110" i="7" s="1"/>
  <c r="S116" i="7"/>
  <c r="U116" i="7" s="1"/>
  <c r="S9" i="7"/>
  <c r="U9" i="7" s="1"/>
  <c r="S84" i="7"/>
  <c r="U84" i="7" s="1"/>
  <c r="S118" i="7"/>
  <c r="U118" i="7" s="1"/>
  <c r="S126" i="7"/>
  <c r="U126" i="7" s="1"/>
  <c r="S8" i="7"/>
  <c r="U8" i="7" s="1"/>
  <c r="S12" i="7"/>
  <c r="U12" i="7" s="1"/>
  <c r="S92" i="7"/>
  <c r="U92" i="7" s="1"/>
  <c r="S107" i="7"/>
  <c r="U107" i="7" s="1"/>
  <c r="S124" i="7"/>
  <c r="U124" i="7" s="1"/>
  <c r="S134" i="7"/>
  <c r="U134" i="7" s="1"/>
  <c r="S13" i="7"/>
  <c r="U13" i="7" s="1"/>
  <c r="S94" i="7"/>
  <c r="U94" i="7" s="1"/>
  <c r="S119" i="7"/>
  <c r="U119" i="7" s="1"/>
  <c r="S132" i="7"/>
  <c r="U132" i="7" s="1"/>
  <c r="S140" i="7"/>
  <c r="U140" i="7" s="1"/>
  <c r="S144" i="7"/>
  <c r="U144" i="7" s="1"/>
  <c r="S148" i="7"/>
  <c r="U148" i="7" s="1"/>
  <c r="S152" i="7"/>
  <c r="U152" i="7" s="1"/>
  <c r="S156" i="7"/>
  <c r="U156" i="7" s="1"/>
  <c r="S139" i="7"/>
  <c r="U139" i="7" s="1"/>
  <c r="S143" i="7"/>
  <c r="U143" i="7" s="1"/>
  <c r="S147" i="7"/>
  <c r="U147" i="7" s="1"/>
  <c r="S151" i="7"/>
  <c r="U151" i="7" s="1"/>
  <c r="S155" i="7"/>
  <c r="U155" i="7" s="1"/>
  <c r="S138" i="7"/>
  <c r="U138" i="7" s="1"/>
  <c r="S142" i="7"/>
  <c r="U142" i="7" s="1"/>
  <c r="S146" i="7"/>
  <c r="U146" i="7" s="1"/>
  <c r="S150" i="7"/>
  <c r="U150" i="7" s="1"/>
  <c r="S154" i="7"/>
  <c r="U154" i="7" s="1"/>
  <c r="S141" i="7"/>
  <c r="U141" i="7" s="1"/>
  <c r="S145" i="7"/>
  <c r="U145" i="7" s="1"/>
  <c r="S149" i="7"/>
  <c r="U149" i="7" s="1"/>
  <c r="S153" i="7"/>
  <c r="U153" i="7" s="1"/>
  <c r="S157" i="7"/>
  <c r="U157" i="7" s="1"/>
  <c r="S3" i="6"/>
  <c r="U3" i="6" s="1"/>
  <c r="S33" i="6"/>
  <c r="U33" i="6" s="1"/>
  <c r="S49" i="6"/>
  <c r="U49" i="6" s="1"/>
  <c r="S65" i="6"/>
  <c r="U65" i="6" s="1"/>
  <c r="S18" i="6"/>
  <c r="U18" i="6" s="1"/>
  <c r="S27" i="6"/>
  <c r="U27" i="6" s="1"/>
  <c r="S45" i="6"/>
  <c r="U45" i="6" s="1"/>
  <c r="S61" i="6"/>
  <c r="U61" i="6" s="1"/>
  <c r="S146" i="6"/>
  <c r="U146" i="6" s="1"/>
  <c r="S81" i="6"/>
  <c r="U81" i="6" s="1"/>
  <c r="S97" i="6"/>
  <c r="U97" i="6" s="1"/>
  <c r="S113" i="6"/>
  <c r="U113" i="6" s="1"/>
  <c r="S129" i="6"/>
  <c r="U129" i="6" s="1"/>
  <c r="S137" i="6"/>
  <c r="U137" i="6" s="1"/>
  <c r="S2" i="6"/>
  <c r="U2" i="6" s="1"/>
  <c r="S135" i="6"/>
  <c r="U135" i="6" s="1"/>
  <c r="S144" i="6"/>
  <c r="U144" i="6" s="1"/>
  <c r="S105" i="6"/>
  <c r="U105" i="6" s="1"/>
  <c r="S121" i="6"/>
  <c r="U121" i="6" s="1"/>
  <c r="S151" i="6"/>
  <c r="U151" i="6" s="1"/>
  <c r="S89" i="6"/>
  <c r="U89" i="6" s="1"/>
  <c r="S153" i="6"/>
  <c r="U153" i="6" s="1"/>
  <c r="S138" i="6"/>
  <c r="U138" i="6" s="1"/>
  <c r="S154" i="6"/>
  <c r="U154" i="6" s="1"/>
  <c r="S98" i="5"/>
  <c r="U98" i="5" s="1"/>
  <c r="S138" i="5"/>
  <c r="U138" i="5" s="1"/>
  <c r="S151" i="5"/>
  <c r="U151" i="5" s="1"/>
  <c r="S28" i="5"/>
  <c r="U28" i="5" s="1"/>
  <c r="S136" i="5"/>
  <c r="U136" i="5" s="1"/>
  <c r="S4" i="5"/>
  <c r="S12" i="5"/>
  <c r="U12" i="5" s="1"/>
  <c r="S69" i="5"/>
  <c r="U69" i="5" s="1"/>
  <c r="S114" i="5"/>
  <c r="U114" i="5" s="1"/>
  <c r="S22" i="5"/>
  <c r="U22" i="5" s="1"/>
  <c r="S24" i="5"/>
  <c r="U24" i="5" s="1"/>
  <c r="S26" i="5"/>
  <c r="U26" i="5" s="1"/>
  <c r="S30" i="5"/>
  <c r="U30" i="5" s="1"/>
  <c r="S62" i="5"/>
  <c r="U62" i="5" s="1"/>
  <c r="S73" i="5"/>
  <c r="U73" i="5" s="1"/>
  <c r="S87" i="5"/>
  <c r="U87" i="5" s="1"/>
  <c r="S103" i="5"/>
  <c r="U103" i="5" s="1"/>
  <c r="S119" i="5"/>
  <c r="U119" i="5" s="1"/>
  <c r="S37" i="5"/>
  <c r="U37" i="5" s="1"/>
  <c r="S66" i="5"/>
  <c r="U66" i="5" s="1"/>
  <c r="S10" i="5"/>
  <c r="U10" i="5" s="1"/>
  <c r="S8" i="5"/>
  <c r="U8" i="5" s="1"/>
  <c r="S58" i="5"/>
  <c r="U58" i="5" s="1"/>
  <c r="S16" i="5"/>
  <c r="U16" i="5" s="1"/>
  <c r="S5" i="5"/>
  <c r="U5" i="5" s="1"/>
  <c r="S7" i="5"/>
  <c r="U7" i="5" s="1"/>
  <c r="S9" i="5"/>
  <c r="U9" i="5" s="1"/>
  <c r="S11" i="5"/>
  <c r="U11" i="5" s="1"/>
  <c r="S13" i="5"/>
  <c r="U13" i="5" s="1"/>
  <c r="S31" i="5"/>
  <c r="U31" i="5" s="1"/>
  <c r="S53" i="5"/>
  <c r="U53" i="5" s="1"/>
  <c r="S74" i="5"/>
  <c r="U74" i="5" s="1"/>
  <c r="S90" i="5"/>
  <c r="U90" i="5" s="1"/>
  <c r="S106" i="5"/>
  <c r="U106" i="5" s="1"/>
  <c r="S122" i="5"/>
  <c r="U122" i="5" s="1"/>
  <c r="S14" i="5"/>
  <c r="U14" i="5" s="1"/>
  <c r="S20" i="5"/>
  <c r="U20" i="5" s="1"/>
  <c r="S39" i="5"/>
  <c r="U39" i="5" s="1"/>
  <c r="S15" i="5"/>
  <c r="U15" i="5" s="1"/>
  <c r="S17" i="5"/>
  <c r="U17" i="5" s="1"/>
  <c r="S19" i="5"/>
  <c r="U19" i="5" s="1"/>
  <c r="S21" i="5"/>
  <c r="U21" i="5" s="1"/>
  <c r="S23" i="5"/>
  <c r="U23" i="5" s="1"/>
  <c r="S25" i="5"/>
  <c r="U25" i="5" s="1"/>
  <c r="S27" i="5"/>
  <c r="U27" i="5" s="1"/>
  <c r="S29" i="5"/>
  <c r="U29" i="5" s="1"/>
  <c r="S57" i="5"/>
  <c r="U57" i="5" s="1"/>
  <c r="S79" i="5"/>
  <c r="U79" i="5" s="1"/>
  <c r="S95" i="5"/>
  <c r="U95" i="5" s="1"/>
  <c r="S111" i="5"/>
  <c r="U111" i="5" s="1"/>
  <c r="S82" i="5"/>
  <c r="U82" i="5" s="1"/>
  <c r="S18" i="5"/>
  <c r="U18" i="5" s="1"/>
  <c r="S38" i="5"/>
  <c r="U38" i="5" s="1"/>
  <c r="S47" i="5"/>
  <c r="U47" i="5" s="1"/>
  <c r="S61" i="5"/>
  <c r="U61" i="5" s="1"/>
  <c r="S153" i="5"/>
  <c r="U153" i="5" s="1"/>
  <c r="S80" i="5"/>
  <c r="U80" i="5" s="1"/>
  <c r="S88" i="5"/>
  <c r="U88" i="5" s="1"/>
  <c r="S96" i="5"/>
  <c r="U96" i="5" s="1"/>
  <c r="S104" i="5"/>
  <c r="U104" i="5" s="1"/>
  <c r="S112" i="5"/>
  <c r="U112" i="5" s="1"/>
  <c r="S120" i="5"/>
  <c r="U120" i="5" s="1"/>
  <c r="S145" i="5"/>
  <c r="U145" i="5" s="1"/>
  <c r="S135" i="5"/>
  <c r="U135" i="5" s="1"/>
  <c r="S144" i="5"/>
  <c r="U144" i="5" s="1"/>
  <c r="S128" i="5"/>
  <c r="U128" i="5" s="1"/>
  <c r="S137" i="5"/>
  <c r="U137" i="5" s="1"/>
  <c r="S152" i="5"/>
  <c r="U152" i="5" s="1"/>
  <c r="U4" i="5" l="1"/>
</calcChain>
</file>

<file path=xl/sharedStrings.xml><?xml version="1.0" encoding="utf-8"?>
<sst xmlns="http://schemas.openxmlformats.org/spreadsheetml/2006/main" count="1390" uniqueCount="45">
  <si>
    <t>Tanggal</t>
  </si>
  <si>
    <t>Origin Time (UTC)</t>
  </si>
  <si>
    <t>Lat gempa</t>
  </si>
  <si>
    <t>Long gempa</t>
  </si>
  <si>
    <t>23:10:12</t>
  </si>
  <si>
    <t>No. Event</t>
  </si>
  <si>
    <t>No. record</t>
  </si>
  <si>
    <t>Mw</t>
  </si>
  <si>
    <t>mech</t>
  </si>
  <si>
    <t>strike slip</t>
  </si>
  <si>
    <t>reverse</t>
  </si>
  <si>
    <t>normal</t>
  </si>
  <si>
    <t>Nama Sensor</t>
  </si>
  <si>
    <t>BMNI</t>
  </si>
  <si>
    <t>DBNI</t>
  </si>
  <si>
    <t>MAKE</t>
  </si>
  <si>
    <t>MASE</t>
  </si>
  <si>
    <t>TWSI</t>
  </si>
  <si>
    <t>KLNI</t>
  </si>
  <si>
    <t>SUBE</t>
  </si>
  <si>
    <t>Vs30</t>
  </si>
  <si>
    <t>R epi (km)</t>
  </si>
  <si>
    <t>h</t>
  </si>
  <si>
    <t>xij=r hyp (km)</t>
  </si>
  <si>
    <t>FR</t>
  </si>
  <si>
    <t>Koefisien</t>
  </si>
  <si>
    <t>a</t>
  </si>
  <si>
    <t>b</t>
  </si>
  <si>
    <t>c</t>
  </si>
  <si>
    <t>e</t>
  </si>
  <si>
    <t>d</t>
  </si>
  <si>
    <t>C1</t>
  </si>
  <si>
    <t>C2</t>
  </si>
  <si>
    <t>C3</t>
  </si>
  <si>
    <t>Ck</t>
  </si>
  <si>
    <t>SC</t>
  </si>
  <si>
    <t>ln pre (cm/s2)</t>
  </si>
  <si>
    <t>ln obs (cm/s2)</t>
  </si>
  <si>
    <t>delta Xvolc</t>
  </si>
  <si>
    <t>delta h</t>
  </si>
  <si>
    <t>delta FR</t>
  </si>
  <si>
    <t>SI</t>
  </si>
  <si>
    <t>SS</t>
  </si>
  <si>
    <t>SSL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</si>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</sst>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;@"/>
    <numFmt numFmtId="165" formatCode="h:mm:ss;@"/>
    <numFmt numFmtId="166" formatCode="[$-F400]h:mm:ss\ AM/PM"/>
    <numFmt numFmtId="167" formatCode="0.0"/>
    <numFmt numFmtId="168" formatCode="0.000_ "/>
    <numFmt numFmtId="169" formatCode="0.00000000"/>
    <numFmt numFmtId="170" formatCode="0.0_ "/>
    <numFmt numFmtId="171" formatCode="0_ 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 Unicode MS"/>
      <family val="2"/>
    </font>
    <font>
      <sz val="11"/>
      <name val="ＭＳ Ｐゴシック"/>
      <family val="3"/>
      <charset val="128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0" fillId="3" borderId="0" xfId="0" applyFill="1"/>
    <xf numFmtId="0" fontId="4" fillId="3" borderId="2" xfId="0" applyFont="1" applyFill="1" applyBorder="1"/>
    <xf numFmtId="164" fontId="4" fillId="3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2" borderId="0" xfId="0" applyFill="1"/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0" fillId="2" borderId="2" xfId="0" applyNumberFormat="1" applyFill="1" applyBorder="1"/>
    <xf numFmtId="166" fontId="0" fillId="2" borderId="2" xfId="0" applyNumberFormat="1" applyFill="1" applyBorder="1"/>
    <xf numFmtId="0" fontId="0" fillId="2" borderId="2" xfId="0" applyFill="1" applyBorder="1"/>
    <xf numFmtId="0" fontId="7" fillId="2" borderId="2" xfId="0" applyFont="1" applyFill="1" applyBorder="1" applyAlignment="1">
      <alignment vertical="center"/>
    </xf>
    <xf numFmtId="167" fontId="4" fillId="0" borderId="2" xfId="0" applyNumberFormat="1" applyFont="1" applyBorder="1" applyAlignment="1">
      <alignment horizontal="center"/>
    </xf>
    <xf numFmtId="167" fontId="4" fillId="3" borderId="2" xfId="0" applyNumberFormat="1" applyFont="1" applyFill="1" applyBorder="1" applyAlignment="1">
      <alignment horizontal="center"/>
    </xf>
    <xf numFmtId="167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4" fillId="0" borderId="2" xfId="0" applyNumberFormat="1" applyFont="1" applyBorder="1"/>
    <xf numFmtId="164" fontId="4" fillId="3" borderId="2" xfId="0" applyNumberFormat="1" applyFont="1" applyFill="1" applyBorder="1"/>
    <xf numFmtId="164" fontId="4" fillId="2" borderId="2" xfId="0" applyNumberFormat="1" applyFont="1" applyFill="1" applyBorder="1"/>
    <xf numFmtId="164" fontId="4" fillId="2" borderId="3" xfId="0" applyNumberFormat="1" applyFont="1" applyFill="1" applyBorder="1"/>
    <xf numFmtId="0" fontId="4" fillId="0" borderId="2" xfId="1" applyFont="1" applyBorder="1"/>
    <xf numFmtId="0" fontId="4" fillId="3" borderId="2" xfId="1" applyFont="1" applyFill="1" applyBorder="1"/>
    <xf numFmtId="0" fontId="4" fillId="2" borderId="2" xfId="1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8" fontId="9" fillId="0" borderId="0" xfId="2" applyNumberFormat="1" applyFont="1" applyAlignment="1">
      <alignment horizontal="right"/>
    </xf>
    <xf numFmtId="169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170" fontId="9" fillId="0" borderId="0" xfId="2" applyNumberFormat="1" applyFont="1" applyAlignment="1">
      <alignment horizontal="right"/>
    </xf>
    <xf numFmtId="171" fontId="9" fillId="0" borderId="0" xfId="2" applyNumberFormat="1" applyFont="1" applyAlignment="1">
      <alignment horizontal="right"/>
    </xf>
  </cellXfs>
  <cellStyles count="3">
    <cellStyle name="Normal" xfId="0" builtinId="0"/>
    <cellStyle name="Normal 2" xfId="1" xr:uid="{38FC2029-4A53-9642-83D0-A5053A9D69C2}"/>
    <cellStyle name="標準 2" xfId="2" xr:uid="{E217B935-762A-004A-9674-2C2C80B6BB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215900</xdr:colOff>
      <xdr:row>0</xdr:row>
      <xdr:rowOff>317500</xdr:rowOff>
    </xdr:from>
    <xdr:to>
      <xdr:col>32</xdr:col>
      <xdr:colOff>254000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2F6FE-1104-D382-CD3A-4067485A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317500"/>
          <a:ext cx="5816600" cy="222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215900</xdr:colOff>
      <xdr:row>0</xdr:row>
      <xdr:rowOff>317500</xdr:rowOff>
    </xdr:from>
    <xdr:to>
      <xdr:col>32</xdr:col>
      <xdr:colOff>254000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EEAB4-59FB-F249-BE37-BBD79D2CE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317500"/>
          <a:ext cx="5816600" cy="222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215900</xdr:colOff>
      <xdr:row>0</xdr:row>
      <xdr:rowOff>317500</xdr:rowOff>
    </xdr:from>
    <xdr:to>
      <xdr:col>32</xdr:col>
      <xdr:colOff>254000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2CB44-D620-5E4B-8174-1345F498F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317500"/>
          <a:ext cx="5816600" cy="222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215900</xdr:colOff>
      <xdr:row>0</xdr:row>
      <xdr:rowOff>317500</xdr:rowOff>
    </xdr:from>
    <xdr:to>
      <xdr:col>32</xdr:col>
      <xdr:colOff>254000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90179-1809-3D41-AB51-5B80F3DDB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8800" y="317500"/>
          <a:ext cx="5816600" cy="222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3A57-C0C4-2347-B05B-2995B47B3F87}">
  <dimension ref="A1:Z160"/>
  <sheetViews>
    <sheetView topLeftCell="O1" workbookViewId="0">
      <selection activeCell="Z18" sqref="Z18"/>
    </sheetView>
  </sheetViews>
  <sheetFormatPr baseColWidth="10" defaultColWidth="11" defaultRowHeight="16"/>
  <cols>
    <col min="18" max="18" width="10.33203125" customWidth="1"/>
    <col min="21" max="21" width="11.6640625" bestFit="1" customWidth="1"/>
  </cols>
  <sheetData>
    <row r="1" spans="1:23" ht="28">
      <c r="A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22</v>
      </c>
      <c r="I1" s="1" t="s">
        <v>8</v>
      </c>
      <c r="J1" s="1" t="s">
        <v>12</v>
      </c>
      <c r="K1" s="1" t="s">
        <v>20</v>
      </c>
      <c r="L1" s="1" t="s">
        <v>35</v>
      </c>
      <c r="M1" s="1" t="s">
        <v>21</v>
      </c>
      <c r="N1" s="1" t="s">
        <v>23</v>
      </c>
      <c r="O1" s="48" t="s">
        <v>39</v>
      </c>
      <c r="P1" s="48" t="s">
        <v>40</v>
      </c>
      <c r="Q1" s="48" t="s">
        <v>34</v>
      </c>
      <c r="R1" s="52" t="s">
        <v>38</v>
      </c>
      <c r="S1" s="48" t="s">
        <v>36</v>
      </c>
      <c r="T1" s="48" t="s">
        <v>37</v>
      </c>
      <c r="U1" s="48" t="s">
        <v>44</v>
      </c>
      <c r="V1" s="49" t="s">
        <v>25</v>
      </c>
    </row>
    <row r="2" spans="1:23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36">
        <v>5.5</v>
      </c>
      <c r="H2" s="5">
        <v>22</v>
      </c>
      <c r="I2" s="41" t="s">
        <v>9</v>
      </c>
      <c r="J2" s="45" t="s">
        <v>13</v>
      </c>
      <c r="K2">
        <v>386</v>
      </c>
      <c r="L2">
        <f>IF(K2&gt;600,1,IF(AND(K2&lt;=600,K2&gt;300),2,3))</f>
        <v>2</v>
      </c>
      <c r="M2">
        <v>97.42375977291556</v>
      </c>
      <c r="N2">
        <v>99.87686903528143</v>
      </c>
      <c r="O2">
        <f t="shared" ref="O2:O33" si="0">IF(H2&lt;15,0,1)</f>
        <v>1</v>
      </c>
      <c r="P2">
        <f t="shared" ref="P2:P33" si="1">IF(I2="reverse",1,0)</f>
        <v>0</v>
      </c>
      <c r="Q2">
        <f t="shared" ref="Q2:Q33" si="2">IF(L2=1,$W$8,IF(L2=2,$W$9,$W$10))</f>
        <v>1.3440000000000001</v>
      </c>
      <c r="R2">
        <v>1</v>
      </c>
      <c r="S2">
        <f>$W$2*G2+$W$3*N2-LN(N2+($W$4*EXP($W$5*G2)))+$W$6*(H2-15)*O2+$W$7*P2+Q2</f>
        <v>2.3103900213472048</v>
      </c>
      <c r="T2">
        <v>2.4905352402684202</v>
      </c>
      <c r="U2">
        <f>T2-S2</f>
        <v>0.18014521892121538</v>
      </c>
      <c r="V2" s="53" t="s">
        <v>26</v>
      </c>
      <c r="W2">
        <v>1.101</v>
      </c>
    </row>
    <row r="3" spans="1:23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36">
        <v>5.5</v>
      </c>
      <c r="H3" s="5">
        <v>22</v>
      </c>
      <c r="I3" s="41" t="s">
        <v>9</v>
      </c>
      <c r="J3" s="45" t="s">
        <v>14</v>
      </c>
      <c r="K3">
        <v>290</v>
      </c>
      <c r="L3">
        <f t="shared" ref="L3:L66" si="3">IF(K3&gt;600,1,IF(AND(K3&lt;=600,K3&gt;300),2,3))</f>
        <v>3</v>
      </c>
      <c r="M3">
        <v>57.079414195557547</v>
      </c>
      <c r="N3">
        <v>61.172375504863439</v>
      </c>
      <c r="O3">
        <f t="shared" si="0"/>
        <v>1</v>
      </c>
      <c r="P3">
        <f t="shared" si="1"/>
        <v>0</v>
      </c>
      <c r="Q3">
        <f t="shared" si="2"/>
        <v>1.355</v>
      </c>
      <c r="R3">
        <v>1</v>
      </c>
      <c r="S3">
        <f t="shared" ref="S3:S66" si="4">$W$2*G3+$W$3*N3-LN(N3+($W$4*EXP($W$5*G3)))+$W$6*(H3-15)*O3+$W$7*P3+Q3</f>
        <v>3.0170426907380947</v>
      </c>
      <c r="T3">
        <v>2.0445743020063061</v>
      </c>
      <c r="U3">
        <f t="shared" ref="U3:U66" si="5">T3-S3</f>
        <v>-0.97246838873178865</v>
      </c>
      <c r="V3" s="53" t="s">
        <v>27</v>
      </c>
      <c r="W3">
        <v>-5.64E-3</v>
      </c>
    </row>
    <row r="4" spans="1:23">
      <c r="A4">
        <f t="shared" ref="A4:A67" si="6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36">
        <v>5.5</v>
      </c>
      <c r="H4" s="5">
        <v>22</v>
      </c>
      <c r="I4" s="41" t="s">
        <v>9</v>
      </c>
      <c r="J4" s="45" t="s">
        <v>15</v>
      </c>
      <c r="K4">
        <v>210</v>
      </c>
      <c r="L4">
        <f t="shared" si="3"/>
        <v>3</v>
      </c>
      <c r="M4">
        <v>199.93485105406191</v>
      </c>
      <c r="N4">
        <v>201.14160351854093</v>
      </c>
      <c r="O4">
        <f t="shared" si="0"/>
        <v>1</v>
      </c>
      <c r="P4">
        <f t="shared" si="1"/>
        <v>0</v>
      </c>
      <c r="Q4">
        <f t="shared" si="2"/>
        <v>1.355</v>
      </c>
      <c r="R4">
        <v>1</v>
      </c>
      <c r="S4">
        <f t="shared" si="4"/>
        <v>1.0605568844030713</v>
      </c>
      <c r="T4">
        <v>0.14186183011683426</v>
      </c>
      <c r="U4">
        <f t="shared" si="5"/>
        <v>-0.91869505428623699</v>
      </c>
      <c r="V4" s="53" t="s">
        <v>28</v>
      </c>
      <c r="W4">
        <v>5.4999999999999997E-3</v>
      </c>
    </row>
    <row r="5" spans="1:23">
      <c r="A5">
        <f t="shared" si="6"/>
        <v>4</v>
      </c>
      <c r="B5" s="2">
        <v>1</v>
      </c>
      <c r="C5" s="6">
        <v>42582</v>
      </c>
      <c r="D5" s="7">
        <v>0.98613425925925924</v>
      </c>
      <c r="E5" s="5">
        <v>-8.24</v>
      </c>
      <c r="F5" s="5">
        <v>117.87</v>
      </c>
      <c r="G5" s="36">
        <v>5.5</v>
      </c>
      <c r="H5" s="5">
        <v>22</v>
      </c>
      <c r="I5" s="2" t="s">
        <v>9</v>
      </c>
      <c r="J5" s="45" t="s">
        <v>16</v>
      </c>
      <c r="K5">
        <v>770</v>
      </c>
      <c r="L5">
        <f t="shared" si="3"/>
        <v>1</v>
      </c>
      <c r="M5">
        <v>186.18385881689272</v>
      </c>
      <c r="N5">
        <v>187.47914359722429</v>
      </c>
      <c r="O5">
        <f t="shared" si="0"/>
        <v>1</v>
      </c>
      <c r="P5">
        <f t="shared" si="1"/>
        <v>0</v>
      </c>
      <c r="Q5">
        <f t="shared" si="2"/>
        <v>1.111</v>
      </c>
      <c r="R5">
        <v>0</v>
      </c>
      <c r="S5">
        <f t="shared" si="4"/>
        <v>0.96320568617701352</v>
      </c>
      <c r="T5">
        <v>0.28277266911330662</v>
      </c>
      <c r="U5">
        <f t="shared" si="5"/>
        <v>-0.68043301706370696</v>
      </c>
      <c r="V5" s="53" t="s">
        <v>30</v>
      </c>
      <c r="W5">
        <v>1.08</v>
      </c>
    </row>
    <row r="6" spans="1:23">
      <c r="A6">
        <f t="shared" si="6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36">
        <v>5.5</v>
      </c>
      <c r="H6" s="5">
        <v>22</v>
      </c>
      <c r="I6" s="41" t="s">
        <v>9</v>
      </c>
      <c r="J6" s="45" t="s">
        <v>17</v>
      </c>
      <c r="K6">
        <v>1141</v>
      </c>
      <c r="L6">
        <f t="shared" si="3"/>
        <v>1</v>
      </c>
      <c r="M6">
        <v>122.92739866371562</v>
      </c>
      <c r="N6">
        <v>124.88052427111312</v>
      </c>
      <c r="O6">
        <f t="shared" si="0"/>
        <v>1</v>
      </c>
      <c r="P6">
        <f t="shared" si="1"/>
        <v>0</v>
      </c>
      <c r="Q6">
        <f t="shared" si="2"/>
        <v>1.111</v>
      </c>
      <c r="R6">
        <v>0</v>
      </c>
      <c r="S6">
        <f t="shared" si="4"/>
        <v>1.7170616946136603</v>
      </c>
      <c r="T6">
        <v>2.3229179477258026</v>
      </c>
      <c r="U6">
        <f t="shared" si="5"/>
        <v>0.60585625311214231</v>
      </c>
      <c r="V6" s="53" t="s">
        <v>29</v>
      </c>
      <c r="W6">
        <v>1.4120000000000001E-2</v>
      </c>
    </row>
    <row r="7" spans="1:23">
      <c r="A7">
        <f t="shared" si="6"/>
        <v>6</v>
      </c>
      <c r="B7" s="2">
        <f t="shared" ref="B7:B70" si="7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36">
        <v>4.4000000000000004</v>
      </c>
      <c r="H7" s="5">
        <v>11</v>
      </c>
      <c r="I7" s="41" t="s">
        <v>9</v>
      </c>
      <c r="J7" s="45" t="s">
        <v>18</v>
      </c>
      <c r="K7">
        <v>612</v>
      </c>
      <c r="L7">
        <f t="shared" si="3"/>
        <v>1</v>
      </c>
      <c r="M7">
        <v>51.849622503718564</v>
      </c>
      <c r="N7">
        <v>53.00361642169446</v>
      </c>
      <c r="O7">
        <f t="shared" si="0"/>
        <v>0</v>
      </c>
      <c r="P7">
        <f t="shared" si="1"/>
        <v>0</v>
      </c>
      <c r="Q7">
        <f t="shared" si="2"/>
        <v>1.111</v>
      </c>
      <c r="R7">
        <v>0</v>
      </c>
      <c r="S7">
        <f t="shared" si="4"/>
        <v>1.6741533092744076</v>
      </c>
      <c r="T7">
        <v>0.46295245891200648</v>
      </c>
      <c r="U7">
        <f t="shared" si="5"/>
        <v>-1.2112008503624012</v>
      </c>
      <c r="V7" s="53" t="s">
        <v>24</v>
      </c>
      <c r="W7">
        <v>0.251</v>
      </c>
    </row>
    <row r="8" spans="1:23">
      <c r="A8">
        <f t="shared" si="6"/>
        <v>7</v>
      </c>
      <c r="B8" s="2">
        <f t="shared" si="7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36">
        <v>4.4000000000000004</v>
      </c>
      <c r="H8" s="5">
        <v>11</v>
      </c>
      <c r="I8" s="41" t="s">
        <v>9</v>
      </c>
      <c r="J8" s="45" t="s">
        <v>15</v>
      </c>
      <c r="K8">
        <v>210</v>
      </c>
      <c r="L8">
        <f t="shared" si="3"/>
        <v>3</v>
      </c>
      <c r="M8">
        <v>61.668145708230284</v>
      </c>
      <c r="N8">
        <v>62.641521334427388</v>
      </c>
      <c r="O8">
        <f t="shared" si="0"/>
        <v>0</v>
      </c>
      <c r="P8">
        <f t="shared" si="1"/>
        <v>0</v>
      </c>
      <c r="Q8">
        <f t="shared" si="2"/>
        <v>1.355</v>
      </c>
      <c r="R8">
        <v>0</v>
      </c>
      <c r="S8">
        <f t="shared" si="4"/>
        <v>1.6985560805833768</v>
      </c>
      <c r="T8">
        <v>-1.2522528789977849</v>
      </c>
      <c r="U8">
        <f t="shared" si="5"/>
        <v>-2.9508089595811615</v>
      </c>
      <c r="V8" s="53" t="s">
        <v>31</v>
      </c>
      <c r="W8" s="50">
        <v>1.111</v>
      </c>
    </row>
    <row r="9" spans="1:23">
      <c r="A9">
        <f t="shared" si="6"/>
        <v>8</v>
      </c>
      <c r="B9" s="2">
        <f t="shared" si="7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36">
        <v>4.4000000000000004</v>
      </c>
      <c r="H9" s="5">
        <v>11</v>
      </c>
      <c r="I9" s="41" t="s">
        <v>9</v>
      </c>
      <c r="J9" s="45" t="s">
        <v>17</v>
      </c>
      <c r="K9">
        <v>1141</v>
      </c>
      <c r="L9">
        <f t="shared" si="3"/>
        <v>1</v>
      </c>
      <c r="M9">
        <v>145.7603890243447</v>
      </c>
      <c r="N9">
        <v>146.17486448951581</v>
      </c>
      <c r="O9">
        <f t="shared" si="0"/>
        <v>0</v>
      </c>
      <c r="P9">
        <f t="shared" si="1"/>
        <v>0</v>
      </c>
      <c r="Q9">
        <f t="shared" si="2"/>
        <v>1.111</v>
      </c>
      <c r="R9">
        <v>1</v>
      </c>
      <c r="S9">
        <f t="shared" si="4"/>
        <v>0.14182192415112049</v>
      </c>
      <c r="T9">
        <v>-1.4118874074645051</v>
      </c>
      <c r="U9">
        <f t="shared" si="5"/>
        <v>-1.5537093316156256</v>
      </c>
      <c r="V9" s="53" t="s">
        <v>32</v>
      </c>
      <c r="W9" s="50">
        <v>1.3440000000000001</v>
      </c>
    </row>
    <row r="10" spans="1:23">
      <c r="A10">
        <f t="shared" si="6"/>
        <v>9</v>
      </c>
      <c r="B10" s="2">
        <f t="shared" si="7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36">
        <v>3.9</v>
      </c>
      <c r="H10" s="5">
        <v>10</v>
      </c>
      <c r="I10" s="41" t="s">
        <v>9</v>
      </c>
      <c r="J10" s="45" t="s">
        <v>18</v>
      </c>
      <c r="K10">
        <v>612</v>
      </c>
      <c r="L10">
        <f t="shared" si="3"/>
        <v>1</v>
      </c>
      <c r="M10">
        <v>92.404790052454644</v>
      </c>
      <c r="N10">
        <v>92.944312492148882</v>
      </c>
      <c r="O10">
        <f t="shared" si="0"/>
        <v>0</v>
      </c>
      <c r="P10">
        <f t="shared" si="1"/>
        <v>0</v>
      </c>
      <c r="Q10">
        <f t="shared" si="2"/>
        <v>1.111</v>
      </c>
      <c r="R10">
        <v>0</v>
      </c>
      <c r="S10">
        <f t="shared" si="4"/>
        <v>0.34470769064945705</v>
      </c>
      <c r="T10">
        <v>-1.5998278243865538</v>
      </c>
      <c r="U10">
        <f t="shared" si="5"/>
        <v>-1.9445355150360109</v>
      </c>
      <c r="V10" s="53" t="s">
        <v>33</v>
      </c>
      <c r="W10" s="50">
        <v>1.355</v>
      </c>
    </row>
    <row r="11" spans="1:23">
      <c r="A11">
        <f t="shared" si="6"/>
        <v>10</v>
      </c>
      <c r="B11" s="2">
        <f t="shared" si="7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36">
        <v>3.9</v>
      </c>
      <c r="H11" s="5">
        <v>10</v>
      </c>
      <c r="I11" s="41" t="s">
        <v>9</v>
      </c>
      <c r="J11" s="45" t="s">
        <v>15</v>
      </c>
      <c r="K11">
        <v>210</v>
      </c>
      <c r="L11">
        <f t="shared" si="3"/>
        <v>3</v>
      </c>
      <c r="M11">
        <v>99.718584231845142</v>
      </c>
      <c r="N11">
        <v>100.21874096796265</v>
      </c>
      <c r="O11">
        <f t="shared" si="0"/>
        <v>0</v>
      </c>
      <c r="P11">
        <f t="shared" si="1"/>
        <v>0</v>
      </c>
      <c r="Q11">
        <f t="shared" si="2"/>
        <v>1.355</v>
      </c>
      <c r="R11">
        <v>0</v>
      </c>
      <c r="S11">
        <f t="shared" si="4"/>
        <v>0.47261401248381096</v>
      </c>
      <c r="T11">
        <v>-3.3437607065404684</v>
      </c>
      <c r="U11">
        <f t="shared" si="5"/>
        <v>-3.8163747190242794</v>
      </c>
      <c r="V11" t="s">
        <v>41</v>
      </c>
      <c r="W11" s="55">
        <v>0</v>
      </c>
    </row>
    <row r="12" spans="1:23">
      <c r="A12">
        <f t="shared" si="6"/>
        <v>11</v>
      </c>
      <c r="B12" s="2">
        <f t="shared" si="7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36">
        <v>3.9</v>
      </c>
      <c r="H12" s="5">
        <v>10</v>
      </c>
      <c r="I12" s="41" t="s">
        <v>9</v>
      </c>
      <c r="J12" s="45" t="s">
        <v>17</v>
      </c>
      <c r="K12">
        <v>1141</v>
      </c>
      <c r="L12">
        <f t="shared" si="3"/>
        <v>1</v>
      </c>
      <c r="M12">
        <v>186.63118908550243</v>
      </c>
      <c r="N12">
        <v>186.89890513180796</v>
      </c>
      <c r="O12">
        <f t="shared" si="0"/>
        <v>0</v>
      </c>
      <c r="P12">
        <f t="shared" si="1"/>
        <v>0</v>
      </c>
      <c r="Q12">
        <f t="shared" si="2"/>
        <v>1.111</v>
      </c>
      <c r="R12">
        <v>1</v>
      </c>
      <c r="S12">
        <f t="shared" si="4"/>
        <v>-0.88176182616349208</v>
      </c>
      <c r="T12">
        <v>-4.0622297535097909</v>
      </c>
      <c r="U12">
        <f t="shared" si="5"/>
        <v>-3.1804679273462986</v>
      </c>
      <c r="V12" t="s">
        <v>42</v>
      </c>
      <c r="W12" s="55">
        <v>0</v>
      </c>
    </row>
    <row r="13" spans="1:23">
      <c r="A13">
        <f t="shared" si="6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36">
        <v>4</v>
      </c>
      <c r="H13" s="5">
        <v>24</v>
      </c>
      <c r="I13" s="41" t="s">
        <v>9</v>
      </c>
      <c r="J13" s="45" t="s">
        <v>19</v>
      </c>
      <c r="K13">
        <v>283</v>
      </c>
      <c r="L13">
        <f t="shared" si="3"/>
        <v>3</v>
      </c>
      <c r="M13">
        <v>71.326978734067708</v>
      </c>
      <c r="N13">
        <v>75.256480753023169</v>
      </c>
      <c r="O13">
        <f t="shared" si="0"/>
        <v>1</v>
      </c>
      <c r="P13">
        <f t="shared" si="1"/>
        <v>0</v>
      </c>
      <c r="Q13">
        <f t="shared" si="2"/>
        <v>1.355</v>
      </c>
      <c r="R13">
        <v>0</v>
      </c>
      <c r="S13">
        <f t="shared" si="4"/>
        <v>1.13525142721447</v>
      </c>
      <c r="T13">
        <v>-1.1839273023330055</v>
      </c>
      <c r="U13">
        <f t="shared" si="5"/>
        <v>-2.3191787295474757</v>
      </c>
      <c r="V13" t="s">
        <v>43</v>
      </c>
      <c r="W13" s="55">
        <v>0</v>
      </c>
    </row>
    <row r="14" spans="1:23">
      <c r="A14" s="8">
        <f t="shared" si="6"/>
        <v>13</v>
      </c>
      <c r="B14" s="9">
        <f t="shared" si="7"/>
        <v>5</v>
      </c>
      <c r="C14" s="10">
        <v>42912</v>
      </c>
      <c r="D14" s="11" t="s">
        <v>4</v>
      </c>
      <c r="E14" s="12">
        <v>-8.44</v>
      </c>
      <c r="F14" s="12">
        <v>117.26</v>
      </c>
      <c r="G14" s="37">
        <v>3.8</v>
      </c>
      <c r="H14" s="12">
        <v>10</v>
      </c>
      <c r="I14" s="42" t="s">
        <v>9</v>
      </c>
      <c r="J14" s="46" t="s">
        <v>19</v>
      </c>
      <c r="K14">
        <v>283</v>
      </c>
      <c r="L14">
        <f t="shared" si="3"/>
        <v>3</v>
      </c>
      <c r="M14">
        <v>17.815188989454146</v>
      </c>
      <c r="N14">
        <v>20.429903541866473</v>
      </c>
      <c r="O14">
        <f t="shared" si="0"/>
        <v>0</v>
      </c>
      <c r="P14">
        <f t="shared" si="1"/>
        <v>0</v>
      </c>
      <c r="Q14">
        <f t="shared" si="2"/>
        <v>1.355</v>
      </c>
      <c r="R14">
        <v>0</v>
      </c>
      <c r="S14">
        <f t="shared" si="4"/>
        <v>2.3903977175047824</v>
      </c>
      <c r="T14">
        <v>0.6306068861074392</v>
      </c>
      <c r="U14">
        <f t="shared" si="5"/>
        <v>-1.7597908313973432</v>
      </c>
    </row>
    <row r="15" spans="1:23">
      <c r="A15">
        <f t="shared" si="6"/>
        <v>14</v>
      </c>
      <c r="B15" s="2">
        <f t="shared" si="7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36">
        <v>5.0999999999999996</v>
      </c>
      <c r="H15" s="5">
        <v>30</v>
      </c>
      <c r="I15" s="41" t="s">
        <v>10</v>
      </c>
      <c r="J15" s="45" t="s">
        <v>13</v>
      </c>
      <c r="K15">
        <v>386</v>
      </c>
      <c r="L15">
        <f t="shared" si="3"/>
        <v>2</v>
      </c>
      <c r="M15">
        <v>73.482911519556041</v>
      </c>
      <c r="N15">
        <v>79.370890667743566</v>
      </c>
      <c r="O15">
        <f t="shared" si="0"/>
        <v>1</v>
      </c>
      <c r="P15">
        <f t="shared" si="1"/>
        <v>1</v>
      </c>
      <c r="Q15">
        <f t="shared" si="2"/>
        <v>1.3440000000000001</v>
      </c>
      <c r="R15">
        <v>0</v>
      </c>
      <c r="S15">
        <f t="shared" si="4"/>
        <v>2.5831688177824121</v>
      </c>
      <c r="T15">
        <v>0.60978140721434515</v>
      </c>
      <c r="U15">
        <f t="shared" si="5"/>
        <v>-1.9733874105680669</v>
      </c>
    </row>
    <row r="16" spans="1:23">
      <c r="A16">
        <f t="shared" si="6"/>
        <v>15</v>
      </c>
      <c r="B16" s="2">
        <f t="shared" si="7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36">
        <v>5.0999999999999996</v>
      </c>
      <c r="H16" s="5">
        <v>30</v>
      </c>
      <c r="I16" s="41" t="s">
        <v>10</v>
      </c>
      <c r="J16" s="45" t="s">
        <v>14</v>
      </c>
      <c r="K16">
        <v>290</v>
      </c>
      <c r="L16">
        <f t="shared" si="3"/>
        <v>3</v>
      </c>
      <c r="M16">
        <v>86.954160124792679</v>
      </c>
      <c r="N16">
        <v>91.983835335389699</v>
      </c>
      <c r="O16">
        <f t="shared" si="0"/>
        <v>1</v>
      </c>
      <c r="P16">
        <f t="shared" si="1"/>
        <v>1</v>
      </c>
      <c r="Q16">
        <f t="shared" si="2"/>
        <v>1.355</v>
      </c>
      <c r="R16">
        <v>0</v>
      </c>
      <c r="S16">
        <f t="shared" si="4"/>
        <v>2.3778576008069674</v>
      </c>
      <c r="T16">
        <v>1.6550592261102106</v>
      </c>
      <c r="U16">
        <f t="shared" si="5"/>
        <v>-0.72279837469675678</v>
      </c>
    </row>
    <row r="17" spans="1:26">
      <c r="A17">
        <f t="shared" si="6"/>
        <v>16</v>
      </c>
      <c r="B17" s="2">
        <f t="shared" si="7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36">
        <v>5.0999999999999996</v>
      </c>
      <c r="H17" s="5">
        <v>30</v>
      </c>
      <c r="I17" s="41" t="s">
        <v>10</v>
      </c>
      <c r="J17" s="45" t="s">
        <v>19</v>
      </c>
      <c r="K17">
        <v>283</v>
      </c>
      <c r="L17">
        <f t="shared" si="3"/>
        <v>3</v>
      </c>
      <c r="M17">
        <v>167.80782469041785</v>
      </c>
      <c r="N17">
        <v>170.4683725132906</v>
      </c>
      <c r="O17">
        <f t="shared" si="0"/>
        <v>1</v>
      </c>
      <c r="P17">
        <f t="shared" si="1"/>
        <v>1</v>
      </c>
      <c r="Q17">
        <f t="shared" si="2"/>
        <v>1.355</v>
      </c>
      <c r="R17">
        <v>1</v>
      </c>
      <c r="S17">
        <f t="shared" si="4"/>
        <v>1.3249819332141399</v>
      </c>
      <c r="T17">
        <v>-1.2122360516659665</v>
      </c>
      <c r="U17">
        <f t="shared" si="5"/>
        <v>-2.5372179848801064</v>
      </c>
    </row>
    <row r="18" spans="1:26">
      <c r="A18">
        <f t="shared" si="6"/>
        <v>17</v>
      </c>
      <c r="B18" s="2">
        <f t="shared" si="7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36">
        <v>5.0999999999999996</v>
      </c>
      <c r="H18" s="5">
        <v>30</v>
      </c>
      <c r="I18" s="41" t="s">
        <v>10</v>
      </c>
      <c r="J18" s="45" t="s">
        <v>17</v>
      </c>
      <c r="K18">
        <v>1141</v>
      </c>
      <c r="L18">
        <f t="shared" si="3"/>
        <v>1</v>
      </c>
      <c r="M18">
        <v>232.99229188908313</v>
      </c>
      <c r="N18">
        <v>234.91574676834185</v>
      </c>
      <c r="O18">
        <f t="shared" si="0"/>
        <v>1</v>
      </c>
      <c r="P18">
        <f t="shared" si="1"/>
        <v>1</v>
      </c>
      <c r="Q18">
        <f t="shared" si="2"/>
        <v>1.111</v>
      </c>
      <c r="R18">
        <v>1</v>
      </c>
      <c r="S18">
        <f t="shared" si="4"/>
        <v>0.39898997227214628</v>
      </c>
      <c r="T18">
        <v>-1.5656900077860638</v>
      </c>
      <c r="U18">
        <f t="shared" si="5"/>
        <v>-1.96467998005821</v>
      </c>
    </row>
    <row r="19" spans="1:26">
      <c r="A19">
        <f t="shared" si="6"/>
        <v>18</v>
      </c>
      <c r="B19" s="2">
        <f t="shared" si="7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36">
        <v>4.9000000000000004</v>
      </c>
      <c r="H19" s="5">
        <v>17</v>
      </c>
      <c r="I19" s="41" t="s">
        <v>10</v>
      </c>
      <c r="J19" s="45" t="s">
        <v>14</v>
      </c>
      <c r="K19">
        <v>290</v>
      </c>
      <c r="L19">
        <f t="shared" si="3"/>
        <v>3</v>
      </c>
      <c r="M19">
        <v>87.504747432513781</v>
      </c>
      <c r="N19">
        <v>89.140792139334437</v>
      </c>
      <c r="O19">
        <f t="shared" si="0"/>
        <v>1</v>
      </c>
      <c r="P19">
        <f t="shared" si="1"/>
        <v>1</v>
      </c>
      <c r="Q19">
        <f t="shared" si="2"/>
        <v>1.355</v>
      </c>
      <c r="R19">
        <v>0</v>
      </c>
      <c r="S19">
        <f t="shared" si="4"/>
        <v>2.0239811329328115</v>
      </c>
      <c r="T19">
        <v>2.6091832767293619</v>
      </c>
      <c r="U19">
        <f t="shared" si="5"/>
        <v>0.58520214379655044</v>
      </c>
    </row>
    <row r="20" spans="1:26">
      <c r="A20" s="8">
        <f t="shared" si="6"/>
        <v>19</v>
      </c>
      <c r="B20" s="9">
        <f t="shared" si="7"/>
        <v>7</v>
      </c>
      <c r="C20" s="10">
        <v>43130</v>
      </c>
      <c r="D20" s="11">
        <v>8.3715277777777777E-2</v>
      </c>
      <c r="E20" s="12">
        <v>-7.9</v>
      </c>
      <c r="F20" s="12">
        <v>118.82</v>
      </c>
      <c r="G20" s="37">
        <v>4.9000000000000004</v>
      </c>
      <c r="H20" s="12">
        <v>17</v>
      </c>
      <c r="I20" s="42" t="s">
        <v>10</v>
      </c>
      <c r="J20" s="46" t="s">
        <v>17</v>
      </c>
      <c r="K20">
        <v>1141</v>
      </c>
      <c r="L20">
        <f t="shared" si="3"/>
        <v>1</v>
      </c>
      <c r="M20">
        <v>234.58300285380335</v>
      </c>
      <c r="N20">
        <v>235.198182875437</v>
      </c>
      <c r="O20">
        <f t="shared" si="0"/>
        <v>1</v>
      </c>
      <c r="P20">
        <f t="shared" si="1"/>
        <v>1</v>
      </c>
      <c r="Q20">
        <f t="shared" si="2"/>
        <v>1.111</v>
      </c>
      <c r="R20">
        <v>1</v>
      </c>
      <c r="S20">
        <f t="shared" si="4"/>
        <v>-6.4429297461894297E-3</v>
      </c>
      <c r="T20">
        <v>-0.81291268095995206</v>
      </c>
      <c r="U20">
        <f t="shared" si="5"/>
        <v>-0.80646975121376263</v>
      </c>
    </row>
    <row r="21" spans="1:26">
      <c r="A21" s="8">
        <f t="shared" si="6"/>
        <v>20</v>
      </c>
      <c r="B21" s="9">
        <f t="shared" si="7"/>
        <v>8</v>
      </c>
      <c r="C21" s="10">
        <v>43133</v>
      </c>
      <c r="D21" s="11">
        <v>0.24946759259182727</v>
      </c>
      <c r="E21" s="12">
        <v>-7.98</v>
      </c>
      <c r="F21" s="12">
        <v>115.88</v>
      </c>
      <c r="G21" s="37">
        <v>4.7</v>
      </c>
      <c r="H21" s="12">
        <v>27</v>
      </c>
      <c r="I21" s="42" t="s">
        <v>9</v>
      </c>
      <c r="J21" s="46" t="s">
        <v>17</v>
      </c>
      <c r="K21">
        <v>1141</v>
      </c>
      <c r="L21">
        <f t="shared" si="3"/>
        <v>1</v>
      </c>
      <c r="M21">
        <v>139.59393854085613</v>
      </c>
      <c r="N21">
        <v>142.18110872175782</v>
      </c>
      <c r="O21">
        <f t="shared" si="0"/>
        <v>1</v>
      </c>
      <c r="P21">
        <f t="shared" si="1"/>
        <v>0</v>
      </c>
      <c r="Q21">
        <f t="shared" si="2"/>
        <v>1.111</v>
      </c>
      <c r="R21">
        <v>1</v>
      </c>
      <c r="S21">
        <f t="shared" si="4"/>
        <v>0.68996158998261725</v>
      </c>
      <c r="T21">
        <v>-1.1622015648806312</v>
      </c>
      <c r="U21">
        <f t="shared" si="5"/>
        <v>-1.8521631548632485</v>
      </c>
      <c r="Z21" s="50"/>
    </row>
    <row r="22" spans="1:26">
      <c r="A22">
        <f t="shared" si="6"/>
        <v>21</v>
      </c>
      <c r="B22" s="2">
        <f t="shared" si="7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36">
        <v>3.6</v>
      </c>
      <c r="H22" s="5">
        <v>10</v>
      </c>
      <c r="I22" s="41" t="s">
        <v>10</v>
      </c>
      <c r="J22" s="45" t="s">
        <v>17</v>
      </c>
      <c r="K22">
        <v>1141</v>
      </c>
      <c r="L22">
        <f t="shared" si="3"/>
        <v>1</v>
      </c>
      <c r="M22">
        <v>94.330220972540559</v>
      </c>
      <c r="N22">
        <v>94.858792890950966</v>
      </c>
      <c r="O22">
        <f t="shared" si="0"/>
        <v>0</v>
      </c>
      <c r="P22">
        <f t="shared" si="1"/>
        <v>1</v>
      </c>
      <c r="Q22">
        <f t="shared" si="2"/>
        <v>1.111</v>
      </c>
      <c r="R22">
        <v>1</v>
      </c>
      <c r="S22">
        <f t="shared" si="4"/>
        <v>0.23538077842809979</v>
      </c>
      <c r="T22">
        <v>-1.0391542420379434</v>
      </c>
      <c r="U22">
        <f t="shared" si="5"/>
        <v>-1.2745350204660433</v>
      </c>
      <c r="Z22" s="50"/>
    </row>
    <row r="23" spans="1:26">
      <c r="A23" s="13">
        <f t="shared" si="6"/>
        <v>22</v>
      </c>
      <c r="B23" s="14">
        <f t="shared" si="7"/>
        <v>10</v>
      </c>
      <c r="C23" s="15">
        <v>43309</v>
      </c>
      <c r="D23" s="16">
        <v>0.94975694445020054</v>
      </c>
      <c r="E23" s="17">
        <v>-8.2799999999999994</v>
      </c>
      <c r="F23" s="17">
        <v>116.51</v>
      </c>
      <c r="G23" s="38">
        <v>6.5</v>
      </c>
      <c r="H23" s="17">
        <v>13</v>
      </c>
      <c r="I23" s="43" t="s">
        <v>10</v>
      </c>
      <c r="J23" s="47" t="s">
        <v>19</v>
      </c>
      <c r="K23">
        <v>283</v>
      </c>
      <c r="L23">
        <f t="shared" si="3"/>
        <v>3</v>
      </c>
      <c r="M23">
        <v>102.95038203100468</v>
      </c>
      <c r="N23">
        <v>103.76791970705499</v>
      </c>
      <c r="O23">
        <f t="shared" si="0"/>
        <v>0</v>
      </c>
      <c r="P23">
        <f t="shared" si="1"/>
        <v>1</v>
      </c>
      <c r="Q23">
        <f t="shared" si="2"/>
        <v>1.355</v>
      </c>
      <c r="R23">
        <v>0</v>
      </c>
      <c r="S23">
        <f t="shared" si="4"/>
        <v>3.477484767973535</v>
      </c>
      <c r="T23">
        <v>2.6970682187497106</v>
      </c>
      <c r="U23">
        <f t="shared" si="5"/>
        <v>-0.78041654922382442</v>
      </c>
      <c r="Z23" s="50"/>
    </row>
    <row r="24" spans="1:26">
      <c r="A24">
        <f t="shared" si="6"/>
        <v>23</v>
      </c>
      <c r="B24" s="2">
        <f t="shared" si="7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36">
        <v>4.9000000000000004</v>
      </c>
      <c r="H24" s="5">
        <v>10</v>
      </c>
      <c r="I24" s="41" t="s">
        <v>10</v>
      </c>
      <c r="J24" s="45" t="s">
        <v>19</v>
      </c>
      <c r="K24">
        <v>283</v>
      </c>
      <c r="L24">
        <f t="shared" si="3"/>
        <v>3</v>
      </c>
      <c r="M24">
        <v>103.61008734061461</v>
      </c>
      <c r="N24">
        <v>104.09154720115264</v>
      </c>
      <c r="O24">
        <f t="shared" si="0"/>
        <v>0</v>
      </c>
      <c r="P24">
        <f t="shared" si="1"/>
        <v>1</v>
      </c>
      <c r="Q24">
        <f t="shared" si="2"/>
        <v>1.355</v>
      </c>
      <c r="R24">
        <v>1</v>
      </c>
      <c r="S24">
        <f t="shared" si="4"/>
        <v>1.7581065818711776</v>
      </c>
      <c r="T24">
        <v>-0.38818676546122283</v>
      </c>
      <c r="U24">
        <f t="shared" si="5"/>
        <v>-2.1462933473324006</v>
      </c>
      <c r="Z24" s="55"/>
    </row>
    <row r="25" spans="1:26">
      <c r="A25">
        <f t="shared" si="6"/>
        <v>24</v>
      </c>
      <c r="B25" s="2">
        <f t="shared" si="7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36">
        <v>5.4</v>
      </c>
      <c r="H25" s="5">
        <v>10</v>
      </c>
      <c r="I25" s="41" t="s">
        <v>10</v>
      </c>
      <c r="J25" s="45" t="s">
        <v>14</v>
      </c>
      <c r="K25">
        <v>290</v>
      </c>
      <c r="L25">
        <f t="shared" si="3"/>
        <v>3</v>
      </c>
      <c r="M25">
        <v>208.12715043998526</v>
      </c>
      <c r="N25">
        <v>208.36724970654157</v>
      </c>
      <c r="O25">
        <f t="shared" si="0"/>
        <v>0</v>
      </c>
      <c r="P25">
        <f t="shared" si="1"/>
        <v>1</v>
      </c>
      <c r="Q25">
        <f t="shared" si="2"/>
        <v>1.355</v>
      </c>
      <c r="R25">
        <v>1</v>
      </c>
      <c r="S25">
        <f t="shared" si="4"/>
        <v>1.0279448491120524</v>
      </c>
      <c r="T25">
        <v>-0.16986074292616513</v>
      </c>
      <c r="U25">
        <f t="shared" si="5"/>
        <v>-1.1978055920382176</v>
      </c>
      <c r="Z25" s="55"/>
    </row>
    <row r="26" spans="1:26">
      <c r="A26">
        <f t="shared" si="6"/>
        <v>25</v>
      </c>
      <c r="B26" s="2">
        <f t="shared" si="7"/>
        <v>12</v>
      </c>
      <c r="C26" s="18">
        <v>43310</v>
      </c>
      <c r="D26" s="19">
        <v>7.6759259259259263E-2</v>
      </c>
      <c r="E26" s="20">
        <v>-8.2200000000000006</v>
      </c>
      <c r="F26" s="20">
        <v>116.46</v>
      </c>
      <c r="G26" s="36">
        <v>5.4</v>
      </c>
      <c r="H26" s="20">
        <v>10</v>
      </c>
      <c r="I26" s="2" t="s">
        <v>10</v>
      </c>
      <c r="J26" s="45" t="s">
        <v>16</v>
      </c>
      <c r="K26">
        <v>770</v>
      </c>
      <c r="L26">
        <f t="shared" si="3"/>
        <v>1</v>
      </c>
      <c r="M26">
        <v>63.920882697035651</v>
      </c>
      <c r="N26">
        <v>64.698371268279942</v>
      </c>
      <c r="O26">
        <f t="shared" si="0"/>
        <v>0</v>
      </c>
      <c r="P26">
        <f t="shared" si="1"/>
        <v>1</v>
      </c>
      <c r="Q26">
        <f t="shared" si="2"/>
        <v>1.111</v>
      </c>
      <c r="R26">
        <v>1</v>
      </c>
      <c r="S26">
        <f t="shared" si="4"/>
        <v>2.7441856977732542</v>
      </c>
      <c r="T26">
        <v>0.27802115100433955</v>
      </c>
      <c r="U26">
        <f t="shared" si="5"/>
        <v>-2.4661645467689146</v>
      </c>
      <c r="Z26" s="55"/>
    </row>
    <row r="27" spans="1:26">
      <c r="A27">
        <f t="shared" si="6"/>
        <v>26</v>
      </c>
      <c r="B27" s="2">
        <f t="shared" si="7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36">
        <v>5.4</v>
      </c>
      <c r="H27" s="5">
        <v>10</v>
      </c>
      <c r="I27" s="41" t="s">
        <v>10</v>
      </c>
      <c r="J27" s="45" t="s">
        <v>19</v>
      </c>
      <c r="K27">
        <v>283</v>
      </c>
      <c r="L27">
        <f t="shared" si="3"/>
        <v>3</v>
      </c>
      <c r="M27">
        <v>109.98524049130438</v>
      </c>
      <c r="N27">
        <v>110.43891128551594</v>
      </c>
      <c r="O27">
        <f t="shared" si="0"/>
        <v>0</v>
      </c>
      <c r="P27">
        <f t="shared" si="1"/>
        <v>1</v>
      </c>
      <c r="Q27">
        <f t="shared" si="2"/>
        <v>1.355</v>
      </c>
      <c r="R27">
        <v>1</v>
      </c>
      <c r="S27">
        <f t="shared" si="4"/>
        <v>2.2072203957984051</v>
      </c>
      <c r="T27">
        <v>9.0345717167716555E-2</v>
      </c>
      <c r="U27">
        <f t="shared" si="5"/>
        <v>-2.1168746786306887</v>
      </c>
      <c r="Z27" s="54"/>
    </row>
    <row r="28" spans="1:26">
      <c r="A28">
        <f t="shared" si="6"/>
        <v>27</v>
      </c>
      <c r="B28" s="2">
        <f t="shared" si="7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36">
        <v>5.4</v>
      </c>
      <c r="H28" s="5">
        <v>10</v>
      </c>
      <c r="I28" s="41" t="s">
        <v>10</v>
      </c>
      <c r="J28" s="45" t="s">
        <v>17</v>
      </c>
      <c r="K28">
        <v>1141</v>
      </c>
      <c r="L28">
        <f t="shared" si="3"/>
        <v>1</v>
      </c>
      <c r="M28">
        <v>74.238713416035168</v>
      </c>
      <c r="N28">
        <v>74.909188819985232</v>
      </c>
      <c r="O28">
        <f t="shared" si="0"/>
        <v>0</v>
      </c>
      <c r="P28">
        <f t="shared" si="1"/>
        <v>1</v>
      </c>
      <c r="Q28">
        <f t="shared" si="2"/>
        <v>1.111</v>
      </c>
      <c r="R28">
        <v>1</v>
      </c>
      <c r="S28">
        <f t="shared" si="4"/>
        <v>2.5439040483915605</v>
      </c>
      <c r="T28">
        <v>0.75313147379923229</v>
      </c>
      <c r="U28">
        <f t="shared" si="5"/>
        <v>-1.7907725745923282</v>
      </c>
    </row>
    <row r="29" spans="1:26">
      <c r="A29">
        <f t="shared" si="6"/>
        <v>28</v>
      </c>
      <c r="B29" s="2">
        <f t="shared" si="7"/>
        <v>13</v>
      </c>
      <c r="C29" s="18">
        <v>43310</v>
      </c>
      <c r="D29" s="19">
        <v>0.48100694444444447</v>
      </c>
      <c r="E29" s="20">
        <v>-8.33</v>
      </c>
      <c r="F29" s="20">
        <v>116.43</v>
      </c>
      <c r="G29" s="36">
        <v>3.5</v>
      </c>
      <c r="H29" s="20">
        <v>10</v>
      </c>
      <c r="I29" s="2" t="s">
        <v>10</v>
      </c>
      <c r="J29" s="45" t="s">
        <v>16</v>
      </c>
      <c r="K29">
        <v>770</v>
      </c>
      <c r="L29">
        <f t="shared" si="3"/>
        <v>1</v>
      </c>
      <c r="M29">
        <v>51.276522104060916</v>
      </c>
      <c r="N29">
        <v>52.242527878044413</v>
      </c>
      <c r="O29">
        <f t="shared" si="0"/>
        <v>0</v>
      </c>
      <c r="P29">
        <f t="shared" si="1"/>
        <v>1</v>
      </c>
      <c r="Q29">
        <f t="shared" si="2"/>
        <v>1.111</v>
      </c>
      <c r="R29">
        <v>1</v>
      </c>
      <c r="S29">
        <f t="shared" si="4"/>
        <v>0.96035300137499335</v>
      </c>
      <c r="T29">
        <v>-1.8197206158433099</v>
      </c>
      <c r="U29">
        <f t="shared" si="5"/>
        <v>-2.7800736172183034</v>
      </c>
    </row>
    <row r="30" spans="1:26">
      <c r="A30">
        <f t="shared" si="6"/>
        <v>29</v>
      </c>
      <c r="B30" s="2">
        <f t="shared" si="7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36">
        <v>4.2</v>
      </c>
      <c r="H30" s="5">
        <v>10</v>
      </c>
      <c r="I30" s="41" t="s">
        <v>10</v>
      </c>
      <c r="J30" s="45" t="s">
        <v>14</v>
      </c>
      <c r="K30">
        <v>290</v>
      </c>
      <c r="L30">
        <f t="shared" si="3"/>
        <v>3</v>
      </c>
      <c r="M30">
        <v>184.73212793909977</v>
      </c>
      <c r="N30">
        <v>185.00259212483465</v>
      </c>
      <c r="O30">
        <f t="shared" si="0"/>
        <v>0</v>
      </c>
      <c r="P30">
        <f t="shared" si="1"/>
        <v>1</v>
      </c>
      <c r="Q30">
        <f t="shared" si="2"/>
        <v>1.355</v>
      </c>
      <c r="R30">
        <v>0</v>
      </c>
      <c r="S30">
        <f t="shared" si="4"/>
        <v>-3.6354858876897378E-2</v>
      </c>
      <c r="T30">
        <v>-2.5867740066737621</v>
      </c>
      <c r="U30">
        <f t="shared" si="5"/>
        <v>-2.5504191477968647</v>
      </c>
    </row>
    <row r="31" spans="1:26">
      <c r="A31" s="13">
        <f t="shared" si="6"/>
        <v>30</v>
      </c>
      <c r="B31" s="14">
        <f t="shared" si="7"/>
        <v>15</v>
      </c>
      <c r="C31" s="21">
        <v>43317</v>
      </c>
      <c r="D31" s="22">
        <v>0.49070601851851853</v>
      </c>
      <c r="E31" s="23">
        <v>-8.2899999999999991</v>
      </c>
      <c r="F31" s="23">
        <v>116.48</v>
      </c>
      <c r="G31" s="38">
        <v>6.9</v>
      </c>
      <c r="H31" s="23">
        <v>17.8</v>
      </c>
      <c r="I31" s="14" t="s">
        <v>10</v>
      </c>
      <c r="J31" s="47" t="s">
        <v>16</v>
      </c>
      <c r="K31">
        <v>770</v>
      </c>
      <c r="L31">
        <f t="shared" si="3"/>
        <v>1</v>
      </c>
      <c r="M31">
        <v>57.419723907976618</v>
      </c>
      <c r="N31">
        <v>60.115428083548252</v>
      </c>
      <c r="O31">
        <f t="shared" si="0"/>
        <v>1</v>
      </c>
      <c r="P31">
        <f t="shared" si="1"/>
        <v>1</v>
      </c>
      <c r="Q31">
        <f t="shared" si="2"/>
        <v>1.111</v>
      </c>
      <c r="R31">
        <v>1</v>
      </c>
      <c r="S31">
        <f t="shared" si="4"/>
        <v>4.4167121924676378</v>
      </c>
      <c r="T31">
        <v>3.5847874815857432</v>
      </c>
      <c r="U31">
        <f t="shared" si="5"/>
        <v>-0.83192471088189457</v>
      </c>
    </row>
    <row r="32" spans="1:26">
      <c r="A32" s="13">
        <f t="shared" si="6"/>
        <v>31</v>
      </c>
      <c r="B32" s="14">
        <f t="shared" si="7"/>
        <v>15</v>
      </c>
      <c r="C32" s="15">
        <v>43317</v>
      </c>
      <c r="D32" s="16">
        <v>0.49070601851851853</v>
      </c>
      <c r="E32" s="23">
        <v>-8.2899999999999991</v>
      </c>
      <c r="F32" s="17">
        <v>116.48</v>
      </c>
      <c r="G32" s="38">
        <v>6.9</v>
      </c>
      <c r="H32" s="23">
        <v>17.8</v>
      </c>
      <c r="I32" s="43" t="s">
        <v>10</v>
      </c>
      <c r="J32" s="47" t="s">
        <v>19</v>
      </c>
      <c r="K32">
        <v>283</v>
      </c>
      <c r="L32">
        <f t="shared" si="3"/>
        <v>3</v>
      </c>
      <c r="M32">
        <v>105.96476647702214</v>
      </c>
      <c r="N32">
        <v>107.44939150376719</v>
      </c>
      <c r="O32">
        <f t="shared" si="0"/>
        <v>1</v>
      </c>
      <c r="P32">
        <f t="shared" si="1"/>
        <v>1</v>
      </c>
      <c r="Q32">
        <f t="shared" si="2"/>
        <v>1.355</v>
      </c>
      <c r="R32">
        <v>0</v>
      </c>
      <c r="S32">
        <f t="shared" si="4"/>
        <v>3.8748666953740152</v>
      </c>
      <c r="T32">
        <v>2.4970621997558928</v>
      </c>
      <c r="U32">
        <f t="shared" si="5"/>
        <v>-1.3778044956181223</v>
      </c>
    </row>
    <row r="33" spans="1:21">
      <c r="A33" s="13">
        <f t="shared" si="6"/>
        <v>32</v>
      </c>
      <c r="B33" s="14">
        <f t="shared" si="7"/>
        <v>15</v>
      </c>
      <c r="C33" s="15">
        <v>43317</v>
      </c>
      <c r="D33" s="16">
        <v>0.49070601851851853</v>
      </c>
      <c r="E33" s="23">
        <v>-8.2899999999999991</v>
      </c>
      <c r="F33" s="17">
        <v>116.48</v>
      </c>
      <c r="G33" s="38">
        <v>6.9</v>
      </c>
      <c r="H33" s="23">
        <v>17.8</v>
      </c>
      <c r="I33" s="43" t="s">
        <v>10</v>
      </c>
      <c r="J33" s="47" t="s">
        <v>17</v>
      </c>
      <c r="K33">
        <v>1141</v>
      </c>
      <c r="L33">
        <f t="shared" si="3"/>
        <v>1</v>
      </c>
      <c r="M33">
        <v>66.881610355374306</v>
      </c>
      <c r="N33">
        <v>69.20975222992864</v>
      </c>
      <c r="O33">
        <f t="shared" si="0"/>
        <v>1</v>
      </c>
      <c r="P33">
        <f t="shared" si="1"/>
        <v>1</v>
      </c>
      <c r="Q33">
        <f t="shared" si="2"/>
        <v>1.111</v>
      </c>
      <c r="R33">
        <v>1</v>
      </c>
      <c r="S33">
        <f t="shared" si="4"/>
        <v>4.2426031325893074</v>
      </c>
      <c r="T33">
        <v>2.7846891525661066</v>
      </c>
      <c r="U33">
        <f t="shared" si="5"/>
        <v>-1.4579139800232008</v>
      </c>
    </row>
    <row r="34" spans="1:21">
      <c r="A34">
        <f t="shared" si="6"/>
        <v>33</v>
      </c>
      <c r="B34" s="2">
        <f t="shared" si="7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36">
        <v>4.4000000000000004</v>
      </c>
      <c r="H34" s="5">
        <v>10</v>
      </c>
      <c r="I34" s="41" t="s">
        <v>10</v>
      </c>
      <c r="J34" s="45" t="s">
        <v>19</v>
      </c>
      <c r="K34">
        <v>283</v>
      </c>
      <c r="L34">
        <f t="shared" si="3"/>
        <v>3</v>
      </c>
      <c r="M34">
        <v>154.91870209025714</v>
      </c>
      <c r="N34">
        <v>155.24111651662983</v>
      </c>
      <c r="O34">
        <f t="shared" ref="O34:O65" si="8">IF(H34&lt;15,0,1)</f>
        <v>0</v>
      </c>
      <c r="P34">
        <f t="shared" ref="P34:P65" si="9">IF(I34="reverse",1,0)</f>
        <v>1</v>
      </c>
      <c r="Q34">
        <f t="shared" ref="Q34:Q65" si="10">IF(L34=1,$W$8,IF(L34=2,$W$9,$W$10))</f>
        <v>1.355</v>
      </c>
      <c r="R34">
        <v>1</v>
      </c>
      <c r="S34">
        <f t="shared" si="4"/>
        <v>0.52576579347277008</v>
      </c>
      <c r="T34">
        <v>-2.2497563485088579</v>
      </c>
      <c r="U34">
        <f t="shared" si="5"/>
        <v>-2.7755221419816278</v>
      </c>
    </row>
    <row r="35" spans="1:21">
      <c r="A35">
        <f t="shared" si="6"/>
        <v>34</v>
      </c>
      <c r="B35" s="2">
        <f t="shared" si="7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36">
        <v>5.0999999999999996</v>
      </c>
      <c r="H35" s="5">
        <v>23</v>
      </c>
      <c r="I35" s="41" t="s">
        <v>10</v>
      </c>
      <c r="J35" s="45" t="s">
        <v>19</v>
      </c>
      <c r="K35">
        <v>283</v>
      </c>
      <c r="L35">
        <f t="shared" si="3"/>
        <v>3</v>
      </c>
      <c r="M35">
        <v>153.83691687865382</v>
      </c>
      <c r="N35">
        <v>155.5467678697627</v>
      </c>
      <c r="O35">
        <f t="shared" si="8"/>
        <v>1</v>
      </c>
      <c r="P35">
        <f t="shared" si="9"/>
        <v>1</v>
      </c>
      <c r="Q35">
        <f t="shared" si="10"/>
        <v>1.355</v>
      </c>
      <c r="R35">
        <v>1</v>
      </c>
      <c r="S35">
        <f t="shared" si="4"/>
        <v>1.4011460074193725</v>
      </c>
      <c r="T35">
        <v>-0.28204495991827838</v>
      </c>
      <c r="U35">
        <f t="shared" si="5"/>
        <v>-1.6831909673376508</v>
      </c>
    </row>
    <row r="36" spans="1:21">
      <c r="A36">
        <f t="shared" si="6"/>
        <v>35</v>
      </c>
      <c r="B36" s="2">
        <f t="shared" si="7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36">
        <v>5.0999999999999996</v>
      </c>
      <c r="H36" s="5">
        <v>23</v>
      </c>
      <c r="I36" s="41" t="s">
        <v>10</v>
      </c>
      <c r="J36" s="45" t="s">
        <v>17</v>
      </c>
      <c r="K36">
        <v>1141</v>
      </c>
      <c r="L36">
        <f t="shared" si="3"/>
        <v>1</v>
      </c>
      <c r="M36">
        <v>101.03942513429189</v>
      </c>
      <c r="N36">
        <v>103.6241546719112</v>
      </c>
      <c r="O36">
        <f t="shared" si="8"/>
        <v>1</v>
      </c>
      <c r="P36">
        <f t="shared" si="9"/>
        <v>1</v>
      </c>
      <c r="Q36">
        <f t="shared" si="10"/>
        <v>1.111</v>
      </c>
      <c r="R36">
        <v>1</v>
      </c>
      <c r="S36">
        <f t="shared" si="4"/>
        <v>1.8518425778349064</v>
      </c>
      <c r="T36">
        <v>1.9845011886263086</v>
      </c>
      <c r="U36">
        <f t="shared" si="5"/>
        <v>0.13265861079140229</v>
      </c>
    </row>
    <row r="37" spans="1:21">
      <c r="A37">
        <f t="shared" si="6"/>
        <v>36</v>
      </c>
      <c r="B37" s="2">
        <f t="shared" si="7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36">
        <v>3.9</v>
      </c>
      <c r="H37" s="5">
        <v>10</v>
      </c>
      <c r="I37" s="41" t="s">
        <v>10</v>
      </c>
      <c r="J37" s="45" t="s">
        <v>17</v>
      </c>
      <c r="K37">
        <v>1141</v>
      </c>
      <c r="L37">
        <f t="shared" si="3"/>
        <v>1</v>
      </c>
      <c r="M37">
        <v>96.076875672391154</v>
      </c>
      <c r="N37">
        <v>96.595890383432504</v>
      </c>
      <c r="O37">
        <f t="shared" si="8"/>
        <v>0</v>
      </c>
      <c r="P37">
        <f t="shared" si="9"/>
        <v>1</v>
      </c>
      <c r="Q37">
        <f t="shared" si="10"/>
        <v>1.111</v>
      </c>
      <c r="R37">
        <v>1</v>
      </c>
      <c r="S37">
        <f t="shared" si="4"/>
        <v>0.5367275045518175</v>
      </c>
      <c r="T37">
        <v>-2.3512419130744751</v>
      </c>
      <c r="U37">
        <f t="shared" si="5"/>
        <v>-2.8879694176262927</v>
      </c>
    </row>
    <row r="38" spans="1:21">
      <c r="A38">
        <f t="shared" si="6"/>
        <v>37</v>
      </c>
      <c r="B38" s="2">
        <f t="shared" si="7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36">
        <v>4.4000000000000004</v>
      </c>
      <c r="H38" s="5">
        <v>11</v>
      </c>
      <c r="I38" s="41" t="s">
        <v>10</v>
      </c>
      <c r="J38" s="45" t="s">
        <v>14</v>
      </c>
      <c r="K38">
        <v>290</v>
      </c>
      <c r="L38">
        <f t="shared" si="3"/>
        <v>3</v>
      </c>
      <c r="M38">
        <v>254.16745999184849</v>
      </c>
      <c r="N38">
        <v>254.40538067955225</v>
      </c>
      <c r="O38">
        <f t="shared" si="8"/>
        <v>0</v>
      </c>
      <c r="P38">
        <f t="shared" si="9"/>
        <v>1</v>
      </c>
      <c r="Q38">
        <f t="shared" si="10"/>
        <v>1.355</v>
      </c>
      <c r="R38">
        <v>1</v>
      </c>
      <c r="S38">
        <f t="shared" si="4"/>
        <v>-0.52587602326843896</v>
      </c>
      <c r="T38">
        <v>-2.3558207971672038</v>
      </c>
      <c r="U38">
        <f t="shared" si="5"/>
        <v>-1.8299447738987649</v>
      </c>
    </row>
    <row r="39" spans="1:21">
      <c r="A39">
        <f t="shared" si="6"/>
        <v>38</v>
      </c>
      <c r="B39" s="2">
        <f t="shared" si="7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36">
        <v>4.4000000000000004</v>
      </c>
      <c r="H39" s="5">
        <v>11</v>
      </c>
      <c r="I39" s="41" t="s">
        <v>10</v>
      </c>
      <c r="J39" s="45" t="s">
        <v>17</v>
      </c>
      <c r="K39">
        <v>1141</v>
      </c>
      <c r="L39">
        <f t="shared" si="3"/>
        <v>1</v>
      </c>
      <c r="M39">
        <v>104.48053403207783</v>
      </c>
      <c r="N39">
        <v>105.05799346850374</v>
      </c>
      <c r="O39">
        <f t="shared" si="8"/>
        <v>0</v>
      </c>
      <c r="P39">
        <f t="shared" si="9"/>
        <v>1</v>
      </c>
      <c r="Q39">
        <f t="shared" si="10"/>
        <v>1.111</v>
      </c>
      <c r="R39">
        <v>1</v>
      </c>
      <c r="S39">
        <f t="shared" si="4"/>
        <v>0.95331552052166912</v>
      </c>
      <c r="T39">
        <v>-5.8082612623529831E-2</v>
      </c>
      <c r="U39">
        <f t="shared" si="5"/>
        <v>-1.0113981331451989</v>
      </c>
    </row>
    <row r="40" spans="1:21">
      <c r="A40">
        <f t="shared" si="6"/>
        <v>39</v>
      </c>
      <c r="B40" s="2">
        <f t="shared" si="7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36">
        <v>3.8</v>
      </c>
      <c r="H40" s="5">
        <v>14</v>
      </c>
      <c r="I40" s="41" t="s">
        <v>10</v>
      </c>
      <c r="J40" s="45" t="s">
        <v>17</v>
      </c>
      <c r="K40">
        <v>1141</v>
      </c>
      <c r="L40">
        <f t="shared" si="3"/>
        <v>1</v>
      </c>
      <c r="M40">
        <v>91.835397766047166</v>
      </c>
      <c r="N40">
        <v>92.896395424408695</v>
      </c>
      <c r="O40">
        <f t="shared" si="8"/>
        <v>0</v>
      </c>
      <c r="P40">
        <f t="shared" si="9"/>
        <v>1</v>
      </c>
      <c r="Q40">
        <f t="shared" si="10"/>
        <v>1.111</v>
      </c>
      <c r="R40">
        <v>1</v>
      </c>
      <c r="S40">
        <f t="shared" si="4"/>
        <v>0.48679909252994225</v>
      </c>
      <c r="T40">
        <v>-2.0753714662930483</v>
      </c>
      <c r="U40">
        <f t="shared" si="5"/>
        <v>-2.5621705588229906</v>
      </c>
    </row>
    <row r="41" spans="1:21">
      <c r="A41">
        <f t="shared" si="6"/>
        <v>40</v>
      </c>
      <c r="B41" s="2">
        <f t="shared" si="7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36">
        <v>4.5999999999999996</v>
      </c>
      <c r="H41" s="5">
        <v>12</v>
      </c>
      <c r="I41" s="41" t="s">
        <v>10</v>
      </c>
      <c r="J41" s="45" t="s">
        <v>14</v>
      </c>
      <c r="K41">
        <v>290</v>
      </c>
      <c r="L41">
        <f t="shared" si="3"/>
        <v>3</v>
      </c>
      <c r="M41">
        <v>240.35487107688945</v>
      </c>
      <c r="N41">
        <v>240.65424170454207</v>
      </c>
      <c r="O41">
        <f t="shared" si="8"/>
        <v>0</v>
      </c>
      <c r="P41">
        <f t="shared" si="9"/>
        <v>1</v>
      </c>
      <c r="Q41">
        <f t="shared" si="10"/>
        <v>1.355</v>
      </c>
      <c r="R41">
        <v>1</v>
      </c>
      <c r="S41">
        <f t="shared" si="4"/>
        <v>-0.17333082721555915</v>
      </c>
      <c r="T41">
        <v>-1.9285630623072505</v>
      </c>
      <c r="U41">
        <f t="shared" si="5"/>
        <v>-1.7552322350916914</v>
      </c>
    </row>
    <row r="42" spans="1:21">
      <c r="A42">
        <f t="shared" si="6"/>
        <v>41</v>
      </c>
      <c r="B42" s="2">
        <f t="shared" si="7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36">
        <v>4.5999999999999996</v>
      </c>
      <c r="H42" s="5">
        <v>12</v>
      </c>
      <c r="I42" s="41" t="s">
        <v>10</v>
      </c>
      <c r="J42" s="45" t="s">
        <v>19</v>
      </c>
      <c r="K42">
        <v>283</v>
      </c>
      <c r="L42">
        <f t="shared" si="3"/>
        <v>3</v>
      </c>
      <c r="M42">
        <v>141.11331413559105</v>
      </c>
      <c r="N42">
        <v>141.62262328572368</v>
      </c>
      <c r="O42">
        <f t="shared" si="8"/>
        <v>0</v>
      </c>
      <c r="P42">
        <f t="shared" si="9"/>
        <v>1</v>
      </c>
      <c r="Q42">
        <f t="shared" si="10"/>
        <v>1.355</v>
      </c>
      <c r="R42">
        <v>1</v>
      </c>
      <c r="S42">
        <f t="shared" si="4"/>
        <v>0.91311579443325119</v>
      </c>
      <c r="T42">
        <v>-1.6278385421783022</v>
      </c>
      <c r="U42">
        <f t="shared" si="5"/>
        <v>-2.5409543366115535</v>
      </c>
    </row>
    <row r="43" spans="1:21">
      <c r="A43">
        <f t="shared" si="6"/>
        <v>42</v>
      </c>
      <c r="B43" s="2">
        <f t="shared" si="7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36">
        <v>6.1</v>
      </c>
      <c r="H43" s="5">
        <v>12</v>
      </c>
      <c r="I43" s="41" t="s">
        <v>10</v>
      </c>
      <c r="J43" s="45" t="s">
        <v>19</v>
      </c>
      <c r="K43">
        <v>283</v>
      </c>
      <c r="L43">
        <f t="shared" si="3"/>
        <v>3</v>
      </c>
      <c r="M43">
        <v>133.30300987573361</v>
      </c>
      <c r="N43">
        <v>133.8420428786483</v>
      </c>
      <c r="O43">
        <f t="shared" si="8"/>
        <v>0</v>
      </c>
      <c r="P43">
        <f t="shared" si="9"/>
        <v>1</v>
      </c>
      <c r="Q43">
        <f t="shared" si="10"/>
        <v>1.355</v>
      </c>
      <c r="R43">
        <v>1</v>
      </c>
      <c r="S43">
        <f t="shared" si="4"/>
        <v>2.6411602108028625</v>
      </c>
      <c r="T43">
        <v>1.1282402131515492</v>
      </c>
      <c r="U43">
        <f t="shared" si="5"/>
        <v>-1.5129199976513132</v>
      </c>
    </row>
    <row r="44" spans="1:21">
      <c r="A44">
        <f t="shared" si="6"/>
        <v>43</v>
      </c>
      <c r="B44" s="2">
        <f t="shared" si="7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36">
        <v>6.1</v>
      </c>
      <c r="H44" s="5">
        <v>12</v>
      </c>
      <c r="I44" s="41" t="s">
        <v>10</v>
      </c>
      <c r="J44" s="45" t="s">
        <v>17</v>
      </c>
      <c r="K44">
        <v>1141</v>
      </c>
      <c r="L44">
        <f t="shared" si="3"/>
        <v>1</v>
      </c>
      <c r="M44">
        <v>84.698985891143934</v>
      </c>
      <c r="N44">
        <v>85.544831585480367</v>
      </c>
      <c r="O44">
        <f t="shared" si="8"/>
        <v>0</v>
      </c>
      <c r="P44">
        <f t="shared" si="9"/>
        <v>1</v>
      </c>
      <c r="Q44">
        <f t="shared" si="10"/>
        <v>1.111</v>
      </c>
      <c r="R44">
        <v>1</v>
      </c>
      <c r="S44">
        <f t="shared" si="4"/>
        <v>3.1009458429034504</v>
      </c>
      <c r="T44">
        <v>2.4077390891493855</v>
      </c>
      <c r="U44">
        <f t="shared" si="5"/>
        <v>-0.69320675375406493</v>
      </c>
    </row>
    <row r="45" spans="1:21">
      <c r="A45">
        <f t="shared" si="6"/>
        <v>44</v>
      </c>
      <c r="B45" s="2">
        <f t="shared" si="7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36">
        <v>4.8</v>
      </c>
      <c r="H45" s="5">
        <v>10</v>
      </c>
      <c r="I45" s="41" t="s">
        <v>10</v>
      </c>
      <c r="J45" s="45" t="s">
        <v>14</v>
      </c>
      <c r="K45">
        <v>290</v>
      </c>
      <c r="L45">
        <f t="shared" si="3"/>
        <v>3</v>
      </c>
      <c r="M45">
        <v>209.11492183048009</v>
      </c>
      <c r="N45">
        <v>209.3538882661791</v>
      </c>
      <c r="O45">
        <f t="shared" si="8"/>
        <v>0</v>
      </c>
      <c r="P45">
        <f t="shared" si="9"/>
        <v>1</v>
      </c>
      <c r="Q45">
        <f t="shared" si="10"/>
        <v>1.355</v>
      </c>
      <c r="R45">
        <v>1</v>
      </c>
      <c r="S45">
        <f t="shared" si="4"/>
        <v>0.36134228440451832</v>
      </c>
      <c r="T45">
        <v>-2.0137064853568756</v>
      </c>
      <c r="U45">
        <f t="shared" si="5"/>
        <v>-2.3750487697613938</v>
      </c>
    </row>
    <row r="46" spans="1:21">
      <c r="A46">
        <f t="shared" si="6"/>
        <v>45</v>
      </c>
      <c r="B46" s="2">
        <f t="shared" si="7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36">
        <v>4</v>
      </c>
      <c r="H46" s="5">
        <v>10</v>
      </c>
      <c r="I46" s="41" t="s">
        <v>10</v>
      </c>
      <c r="J46" s="45" t="s">
        <v>13</v>
      </c>
      <c r="K46">
        <v>386</v>
      </c>
      <c r="L46">
        <f t="shared" si="3"/>
        <v>2</v>
      </c>
      <c r="M46">
        <v>266.53643214013192</v>
      </c>
      <c r="N46">
        <v>266.72395778780572</v>
      </c>
      <c r="O46">
        <f t="shared" si="8"/>
        <v>0</v>
      </c>
      <c r="P46">
        <f t="shared" si="9"/>
        <v>1</v>
      </c>
      <c r="Q46">
        <f t="shared" si="10"/>
        <v>1.3440000000000001</v>
      </c>
      <c r="R46">
        <v>1</v>
      </c>
      <c r="S46">
        <f t="shared" si="4"/>
        <v>-1.0930866112337665</v>
      </c>
      <c r="T46">
        <v>-1.2502210004161221</v>
      </c>
      <c r="U46">
        <f t="shared" si="5"/>
        <v>-0.15713438918235556</v>
      </c>
    </row>
    <row r="47" spans="1:21">
      <c r="A47">
        <f t="shared" si="6"/>
        <v>46</v>
      </c>
      <c r="B47" s="2">
        <f t="shared" si="7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36">
        <v>4</v>
      </c>
      <c r="H47" s="5">
        <v>10</v>
      </c>
      <c r="I47" s="41" t="s">
        <v>10</v>
      </c>
      <c r="J47" s="45" t="s">
        <v>19</v>
      </c>
      <c r="K47">
        <v>283</v>
      </c>
      <c r="L47">
        <f t="shared" si="3"/>
        <v>3</v>
      </c>
      <c r="M47">
        <v>125.86472859435281</v>
      </c>
      <c r="N47">
        <v>126.261355545274</v>
      </c>
      <c r="O47">
        <f t="shared" si="8"/>
        <v>0</v>
      </c>
      <c r="P47">
        <f t="shared" si="9"/>
        <v>1</v>
      </c>
      <c r="Q47">
        <f t="shared" si="10"/>
        <v>1.355</v>
      </c>
      <c r="R47">
        <v>1</v>
      </c>
      <c r="S47">
        <f t="shared" si="4"/>
        <v>0.45626204803736103</v>
      </c>
      <c r="T47">
        <v>-1.9315304300671576</v>
      </c>
      <c r="U47">
        <f t="shared" si="5"/>
        <v>-2.3877924781045188</v>
      </c>
    </row>
    <row r="48" spans="1:21">
      <c r="A48">
        <f t="shared" si="6"/>
        <v>47</v>
      </c>
      <c r="B48" s="2">
        <f t="shared" si="7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36">
        <v>4</v>
      </c>
      <c r="H48" s="5">
        <v>10</v>
      </c>
      <c r="I48" s="41" t="s">
        <v>10</v>
      </c>
      <c r="J48" s="45" t="s">
        <v>17</v>
      </c>
      <c r="K48">
        <v>1141</v>
      </c>
      <c r="L48">
        <f t="shared" si="3"/>
        <v>1</v>
      </c>
      <c r="M48">
        <v>87.215807594313191</v>
      </c>
      <c r="N48">
        <v>87.787226259452225</v>
      </c>
      <c r="O48">
        <f t="shared" si="8"/>
        <v>0</v>
      </c>
      <c r="P48">
        <f t="shared" si="9"/>
        <v>1</v>
      </c>
      <c r="Q48">
        <f t="shared" si="10"/>
        <v>1.111</v>
      </c>
      <c r="R48">
        <v>1</v>
      </c>
      <c r="S48">
        <f t="shared" si="4"/>
        <v>0.79126442202054326</v>
      </c>
      <c r="T48">
        <v>-0.33043554776750717</v>
      </c>
      <c r="U48">
        <f t="shared" si="5"/>
        <v>-1.1216999697880503</v>
      </c>
    </row>
    <row r="49" spans="1:21">
      <c r="A49">
        <f t="shared" si="6"/>
        <v>48</v>
      </c>
      <c r="B49" s="2">
        <f t="shared" si="7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36">
        <v>4.5</v>
      </c>
      <c r="H49" s="5">
        <v>10</v>
      </c>
      <c r="I49" s="41" t="s">
        <v>10</v>
      </c>
      <c r="J49" s="45" t="s">
        <v>17</v>
      </c>
      <c r="K49">
        <v>1141</v>
      </c>
      <c r="L49">
        <f t="shared" si="3"/>
        <v>1</v>
      </c>
      <c r="M49">
        <v>91.933864428229342</v>
      </c>
      <c r="N49">
        <v>92.47613437372938</v>
      </c>
      <c r="O49">
        <f t="shared" si="8"/>
        <v>0</v>
      </c>
      <c r="P49">
        <f t="shared" si="9"/>
        <v>1</v>
      </c>
      <c r="Q49">
        <f t="shared" si="10"/>
        <v>1.111</v>
      </c>
      <c r="R49">
        <v>1</v>
      </c>
      <c r="S49">
        <f t="shared" si="4"/>
        <v>1.2603396014868649</v>
      </c>
      <c r="T49">
        <v>0.11629542248108922</v>
      </c>
      <c r="U49">
        <f t="shared" si="5"/>
        <v>-1.1440441790057756</v>
      </c>
    </row>
    <row r="50" spans="1:21">
      <c r="A50">
        <f t="shared" si="6"/>
        <v>49</v>
      </c>
      <c r="B50" s="2">
        <f t="shared" si="7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36">
        <v>4.5999999999999996</v>
      </c>
      <c r="H50" s="5">
        <v>10</v>
      </c>
      <c r="I50" s="41" t="s">
        <v>10</v>
      </c>
      <c r="J50" s="45" t="s">
        <v>14</v>
      </c>
      <c r="K50">
        <v>290</v>
      </c>
      <c r="L50">
        <f t="shared" si="3"/>
        <v>3</v>
      </c>
      <c r="M50">
        <v>192.58708677294078</v>
      </c>
      <c r="N50">
        <v>192.84653481898042</v>
      </c>
      <c r="O50">
        <f t="shared" si="8"/>
        <v>0</v>
      </c>
      <c r="P50">
        <f t="shared" si="9"/>
        <v>1</v>
      </c>
      <c r="Q50">
        <f t="shared" si="10"/>
        <v>1.355</v>
      </c>
      <c r="R50">
        <v>0</v>
      </c>
      <c r="S50">
        <f t="shared" si="4"/>
        <v>0.31695975497331741</v>
      </c>
      <c r="T50">
        <v>-1.4768309771490409</v>
      </c>
      <c r="U50">
        <f t="shared" si="5"/>
        <v>-1.7937907321223583</v>
      </c>
    </row>
    <row r="51" spans="1:21">
      <c r="A51">
        <f t="shared" si="6"/>
        <v>50</v>
      </c>
      <c r="B51" s="2">
        <f t="shared" si="7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36">
        <v>4.5999999999999996</v>
      </c>
      <c r="H51" s="5">
        <v>10</v>
      </c>
      <c r="I51" s="41" t="s">
        <v>10</v>
      </c>
      <c r="J51" s="45" t="s">
        <v>19</v>
      </c>
      <c r="K51">
        <v>283</v>
      </c>
      <c r="L51">
        <f t="shared" si="3"/>
        <v>3</v>
      </c>
      <c r="M51">
        <v>94.763350515534441</v>
      </c>
      <c r="N51">
        <v>95.289519890332343</v>
      </c>
      <c r="O51">
        <f t="shared" si="8"/>
        <v>0</v>
      </c>
      <c r="P51">
        <f t="shared" si="9"/>
        <v>1</v>
      </c>
      <c r="Q51">
        <f t="shared" si="10"/>
        <v>1.355</v>
      </c>
      <c r="R51">
        <v>0</v>
      </c>
      <c r="S51">
        <f t="shared" si="4"/>
        <v>1.5679850447604338</v>
      </c>
      <c r="T51">
        <v>-0.93343639012279678</v>
      </c>
      <c r="U51">
        <f t="shared" si="5"/>
        <v>-2.5014214348832304</v>
      </c>
    </row>
    <row r="52" spans="1:21">
      <c r="A52">
        <f t="shared" si="6"/>
        <v>51</v>
      </c>
      <c r="B52" s="2">
        <f t="shared" si="7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36">
        <v>4.5999999999999996</v>
      </c>
      <c r="H52" s="5">
        <v>10</v>
      </c>
      <c r="I52" s="41" t="s">
        <v>10</v>
      </c>
      <c r="J52" s="45" t="s">
        <v>17</v>
      </c>
      <c r="K52">
        <v>1141</v>
      </c>
      <c r="L52">
        <f t="shared" si="3"/>
        <v>1</v>
      </c>
      <c r="M52">
        <v>64.561395361687786</v>
      </c>
      <c r="N52">
        <v>65.331261820419186</v>
      </c>
      <c r="O52">
        <f t="shared" si="8"/>
        <v>0</v>
      </c>
      <c r="P52">
        <f t="shared" si="9"/>
        <v>1</v>
      </c>
      <c r="Q52">
        <f t="shared" si="10"/>
        <v>1.111</v>
      </c>
      <c r="R52">
        <v>0</v>
      </c>
      <c r="S52">
        <f t="shared" si="4"/>
        <v>1.8666327793576647</v>
      </c>
      <c r="T52">
        <v>0.6465259082375262</v>
      </c>
      <c r="U52">
        <f t="shared" si="5"/>
        <v>-1.2201068711201386</v>
      </c>
    </row>
    <row r="53" spans="1:21">
      <c r="A53">
        <f t="shared" si="6"/>
        <v>52</v>
      </c>
      <c r="B53" s="2">
        <f t="shared" si="7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36">
        <v>4.3</v>
      </c>
      <c r="H53" s="5">
        <v>10</v>
      </c>
      <c r="I53" s="41" t="s">
        <v>10</v>
      </c>
      <c r="J53" s="45" t="s">
        <v>19</v>
      </c>
      <c r="K53">
        <v>283</v>
      </c>
      <c r="L53">
        <f t="shared" si="3"/>
        <v>3</v>
      </c>
      <c r="M53">
        <v>98.832364451782198</v>
      </c>
      <c r="N53">
        <v>99.336983360327082</v>
      </c>
      <c r="O53">
        <f t="shared" si="8"/>
        <v>0</v>
      </c>
      <c r="P53">
        <f t="shared" si="9"/>
        <v>1</v>
      </c>
      <c r="Q53">
        <f t="shared" si="10"/>
        <v>1.355</v>
      </c>
      <c r="R53">
        <v>0</v>
      </c>
      <c r="S53">
        <f t="shared" si="4"/>
        <v>1.1757820462544979</v>
      </c>
      <c r="T53">
        <v>-1.4904495323169156</v>
      </c>
      <c r="U53">
        <f t="shared" si="5"/>
        <v>-2.6662315785714137</v>
      </c>
    </row>
    <row r="54" spans="1:21">
      <c r="A54">
        <f t="shared" si="6"/>
        <v>53</v>
      </c>
      <c r="B54" s="2">
        <f t="shared" si="7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36">
        <v>5.3</v>
      </c>
      <c r="H54" s="5">
        <v>10</v>
      </c>
      <c r="I54" s="41" t="s">
        <v>10</v>
      </c>
      <c r="J54" s="45" t="s">
        <v>19</v>
      </c>
      <c r="K54">
        <v>283</v>
      </c>
      <c r="L54">
        <f t="shared" si="3"/>
        <v>3</v>
      </c>
      <c r="M54">
        <v>90.807039760856895</v>
      </c>
      <c r="N54">
        <v>91.355998544867575</v>
      </c>
      <c r="O54">
        <f t="shared" si="8"/>
        <v>0</v>
      </c>
      <c r="P54">
        <f t="shared" si="9"/>
        <v>1</v>
      </c>
      <c r="Q54">
        <f t="shared" si="10"/>
        <v>1.355</v>
      </c>
      <c r="R54">
        <v>0</v>
      </c>
      <c r="S54">
        <f t="shared" si="4"/>
        <v>2.3930259170616228</v>
      </c>
      <c r="T54">
        <v>1.8488672825082033</v>
      </c>
      <c r="U54">
        <f t="shared" si="5"/>
        <v>-0.54415863455341951</v>
      </c>
    </row>
    <row r="55" spans="1:21">
      <c r="A55">
        <f t="shared" si="6"/>
        <v>54</v>
      </c>
      <c r="B55" s="2">
        <f t="shared" si="7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36">
        <v>5.3</v>
      </c>
      <c r="H55" s="5">
        <v>10</v>
      </c>
      <c r="I55" s="41" t="s">
        <v>10</v>
      </c>
      <c r="J55" s="45" t="s">
        <v>17</v>
      </c>
      <c r="K55">
        <v>1141</v>
      </c>
      <c r="L55">
        <f t="shared" si="3"/>
        <v>1</v>
      </c>
      <c r="M55">
        <v>57.669099196433656</v>
      </c>
      <c r="N55">
        <v>58.529693337041373</v>
      </c>
      <c r="O55">
        <f t="shared" si="8"/>
        <v>0</v>
      </c>
      <c r="P55">
        <f t="shared" si="9"/>
        <v>1</v>
      </c>
      <c r="Q55">
        <f t="shared" si="10"/>
        <v>1.111</v>
      </c>
      <c r="R55">
        <v>0</v>
      </c>
      <c r="S55">
        <f t="shared" si="4"/>
        <v>2.76929774759612</v>
      </c>
      <c r="T55">
        <v>3.3374000338664684</v>
      </c>
      <c r="U55">
        <f t="shared" si="5"/>
        <v>0.56810228627034842</v>
      </c>
    </row>
    <row r="56" spans="1:21">
      <c r="A56">
        <f t="shared" si="6"/>
        <v>55</v>
      </c>
      <c r="B56" s="2">
        <f t="shared" si="7"/>
        <v>29</v>
      </c>
      <c r="C56" s="24">
        <v>43331</v>
      </c>
      <c r="D56" s="4">
        <v>0.17386574074043892</v>
      </c>
      <c r="E56" s="5">
        <v>-8.24</v>
      </c>
      <c r="F56" s="5">
        <v>116.66</v>
      </c>
      <c r="G56" s="36">
        <v>6.3</v>
      </c>
      <c r="H56" s="5">
        <v>10</v>
      </c>
      <c r="I56" s="2" t="s">
        <v>10</v>
      </c>
      <c r="J56" s="45" t="s">
        <v>16</v>
      </c>
      <c r="K56">
        <v>770</v>
      </c>
      <c r="L56">
        <f t="shared" si="3"/>
        <v>1</v>
      </c>
      <c r="M56">
        <v>72.173831697702084</v>
      </c>
      <c r="N56">
        <v>72.863310259198542</v>
      </c>
      <c r="O56">
        <f t="shared" si="8"/>
        <v>0</v>
      </c>
      <c r="P56">
        <f t="shared" si="9"/>
        <v>1</v>
      </c>
      <c r="Q56">
        <f t="shared" si="10"/>
        <v>1.111</v>
      </c>
      <c r="R56">
        <v>1</v>
      </c>
      <c r="S56">
        <f t="shared" si="4"/>
        <v>3.5329362385845711</v>
      </c>
      <c r="T56">
        <v>1.6093050666524018</v>
      </c>
      <c r="U56">
        <f t="shared" si="5"/>
        <v>-1.9236311719321693</v>
      </c>
    </row>
    <row r="57" spans="1:21">
      <c r="A57">
        <f t="shared" si="6"/>
        <v>56</v>
      </c>
      <c r="B57" s="2">
        <f t="shared" si="7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36">
        <v>6.3</v>
      </c>
      <c r="H57" s="5">
        <v>10</v>
      </c>
      <c r="I57" s="41" t="s">
        <v>10</v>
      </c>
      <c r="J57" s="45" t="s">
        <v>19</v>
      </c>
      <c r="K57">
        <v>283</v>
      </c>
      <c r="L57">
        <f t="shared" si="3"/>
        <v>3</v>
      </c>
      <c r="M57">
        <v>88.078759906858352</v>
      </c>
      <c r="N57">
        <v>88.644616005316408</v>
      </c>
      <c r="O57">
        <f t="shared" si="8"/>
        <v>0</v>
      </c>
      <c r="P57">
        <f t="shared" si="9"/>
        <v>1</v>
      </c>
      <c r="Q57">
        <f t="shared" si="10"/>
        <v>1.355</v>
      </c>
      <c r="R57">
        <v>0</v>
      </c>
      <c r="S57">
        <f t="shared" si="4"/>
        <v>3.5032865434368334</v>
      </c>
      <c r="T57">
        <v>1.9236678069738229</v>
      </c>
      <c r="U57">
        <f t="shared" si="5"/>
        <v>-1.5796187364630105</v>
      </c>
    </row>
    <row r="58" spans="1:21">
      <c r="A58">
        <f t="shared" si="6"/>
        <v>57</v>
      </c>
      <c r="B58" s="2">
        <f t="shared" si="7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36">
        <v>6.3</v>
      </c>
      <c r="H58" s="5">
        <v>10</v>
      </c>
      <c r="I58" s="41" t="s">
        <v>10</v>
      </c>
      <c r="J58" s="45" t="s">
        <v>17</v>
      </c>
      <c r="K58">
        <v>1141</v>
      </c>
      <c r="L58">
        <f t="shared" si="3"/>
        <v>1</v>
      </c>
      <c r="M58">
        <v>60.586448333172122</v>
      </c>
      <c r="N58">
        <v>61.406170061551101</v>
      </c>
      <c r="O58">
        <f t="shared" si="8"/>
        <v>0</v>
      </c>
      <c r="P58">
        <f t="shared" si="9"/>
        <v>1</v>
      </c>
      <c r="Q58">
        <f t="shared" si="10"/>
        <v>1.111</v>
      </c>
      <c r="R58">
        <v>0</v>
      </c>
      <c r="S58">
        <f t="shared" si="4"/>
        <v>3.7568126162416657</v>
      </c>
      <c r="T58">
        <v>3.9148553760962317</v>
      </c>
      <c r="U58">
        <f t="shared" si="5"/>
        <v>0.15804275985456595</v>
      </c>
    </row>
    <row r="59" spans="1:21">
      <c r="A59">
        <f t="shared" si="6"/>
        <v>58</v>
      </c>
      <c r="B59" s="2">
        <f t="shared" si="7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36">
        <v>5</v>
      </c>
      <c r="H59" s="5">
        <v>10</v>
      </c>
      <c r="I59" s="41" t="s">
        <v>10</v>
      </c>
      <c r="J59" s="45" t="s">
        <v>19</v>
      </c>
      <c r="K59">
        <v>283</v>
      </c>
      <c r="L59">
        <f t="shared" si="3"/>
        <v>3</v>
      </c>
      <c r="M59">
        <v>57.516438882548499</v>
      </c>
      <c r="N59">
        <v>58.379283497915054</v>
      </c>
      <c r="O59">
        <f t="shared" si="8"/>
        <v>0</v>
      </c>
      <c r="P59">
        <f t="shared" si="9"/>
        <v>1</v>
      </c>
      <c r="Q59">
        <f t="shared" si="10"/>
        <v>1.355</v>
      </c>
      <c r="R59">
        <v>0</v>
      </c>
      <c r="S59">
        <f t="shared" si="4"/>
        <v>2.6941352886032242</v>
      </c>
      <c r="T59">
        <v>-6.0453793950808819E-2</v>
      </c>
      <c r="U59">
        <f t="shared" si="5"/>
        <v>-2.7545890825540331</v>
      </c>
    </row>
    <row r="60" spans="1:21">
      <c r="A60">
        <f t="shared" si="6"/>
        <v>59</v>
      </c>
      <c r="B60" s="2">
        <f t="shared" si="7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36">
        <v>4.8</v>
      </c>
      <c r="H60" s="5">
        <v>10</v>
      </c>
      <c r="I60" s="41" t="s">
        <v>10</v>
      </c>
      <c r="J60" s="45" t="s">
        <v>13</v>
      </c>
      <c r="K60">
        <v>386</v>
      </c>
      <c r="L60">
        <f t="shared" si="3"/>
        <v>2</v>
      </c>
      <c r="M60">
        <v>235.11317602344423</v>
      </c>
      <c r="N60">
        <v>235.32574347026096</v>
      </c>
      <c r="O60">
        <f t="shared" si="8"/>
        <v>0</v>
      </c>
      <c r="P60">
        <f t="shared" si="9"/>
        <v>1</v>
      </c>
      <c r="Q60">
        <f t="shared" si="10"/>
        <v>1.3440000000000001</v>
      </c>
      <c r="R60">
        <v>0</v>
      </c>
      <c r="S60">
        <f t="shared" si="4"/>
        <v>8.7431356109920477E-2</v>
      </c>
      <c r="T60">
        <v>-0.19804758676786052</v>
      </c>
      <c r="U60">
        <f t="shared" si="5"/>
        <v>-0.28547894287778097</v>
      </c>
    </row>
    <row r="61" spans="1:21">
      <c r="A61">
        <f t="shared" si="6"/>
        <v>60</v>
      </c>
      <c r="B61" s="2">
        <f t="shared" si="7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36">
        <v>4.5</v>
      </c>
      <c r="H61" s="5">
        <v>10</v>
      </c>
      <c r="I61" s="41" t="s">
        <v>10</v>
      </c>
      <c r="J61" s="45" t="s">
        <v>19</v>
      </c>
      <c r="K61">
        <v>283</v>
      </c>
      <c r="L61">
        <f t="shared" si="3"/>
        <v>3</v>
      </c>
      <c r="M61">
        <v>97.287891794045379</v>
      </c>
      <c r="N61">
        <v>97.800480007666025</v>
      </c>
      <c r="O61">
        <f t="shared" si="8"/>
        <v>0</v>
      </c>
      <c r="P61">
        <f t="shared" si="9"/>
        <v>1</v>
      </c>
      <c r="Q61">
        <f t="shared" si="10"/>
        <v>1.355</v>
      </c>
      <c r="R61">
        <v>0</v>
      </c>
      <c r="S61">
        <f t="shared" si="4"/>
        <v>1.4187460785875645</v>
      </c>
      <c r="T61">
        <v>-0.49857055239340053</v>
      </c>
      <c r="U61">
        <f t="shared" si="5"/>
        <v>-1.9173166309809651</v>
      </c>
    </row>
    <row r="62" spans="1:21">
      <c r="A62">
        <f t="shared" si="6"/>
        <v>61</v>
      </c>
      <c r="B62" s="2">
        <f t="shared" si="7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36">
        <v>4.7</v>
      </c>
      <c r="H62" s="5">
        <v>10</v>
      </c>
      <c r="I62" s="41" t="s">
        <v>10</v>
      </c>
      <c r="J62" s="45" t="s">
        <v>13</v>
      </c>
      <c r="K62">
        <v>386</v>
      </c>
      <c r="L62">
        <f t="shared" si="3"/>
        <v>2</v>
      </c>
      <c r="M62">
        <v>246.0405833277724</v>
      </c>
      <c r="N62">
        <v>246.243717979303</v>
      </c>
      <c r="O62">
        <f t="shared" si="8"/>
        <v>0</v>
      </c>
      <c r="P62">
        <f t="shared" si="9"/>
        <v>1</v>
      </c>
      <c r="Q62">
        <f t="shared" si="10"/>
        <v>1.3440000000000001</v>
      </c>
      <c r="R62">
        <v>1</v>
      </c>
      <c r="S62">
        <f t="shared" si="4"/>
        <v>-0.12900660636878158</v>
      </c>
      <c r="T62">
        <v>-1.1357554627957283</v>
      </c>
      <c r="U62">
        <f t="shared" si="5"/>
        <v>-1.0067488564269467</v>
      </c>
    </row>
    <row r="63" spans="1:21">
      <c r="A63">
        <f t="shared" si="6"/>
        <v>62</v>
      </c>
      <c r="B63" s="2">
        <f t="shared" si="7"/>
        <v>33</v>
      </c>
      <c r="C63" s="18">
        <v>43331</v>
      </c>
      <c r="D63" s="19">
        <v>0.97910879629629621</v>
      </c>
      <c r="E63" s="20">
        <v>-8.17</v>
      </c>
      <c r="F63" s="20">
        <v>116.51</v>
      </c>
      <c r="G63" s="36">
        <v>4.7</v>
      </c>
      <c r="H63" s="5">
        <v>10</v>
      </c>
      <c r="I63" s="2" t="s">
        <v>10</v>
      </c>
      <c r="J63" s="45" t="s">
        <v>16</v>
      </c>
      <c r="K63">
        <v>770</v>
      </c>
      <c r="L63">
        <f t="shared" si="3"/>
        <v>1</v>
      </c>
      <c r="M63">
        <v>71.029525733797968</v>
      </c>
      <c r="N63">
        <v>71.730004363364344</v>
      </c>
      <c r="O63">
        <f t="shared" si="8"/>
        <v>0</v>
      </c>
      <c r="P63">
        <f t="shared" si="9"/>
        <v>1</v>
      </c>
      <c r="Q63">
        <f t="shared" si="10"/>
        <v>1.111</v>
      </c>
      <c r="R63">
        <v>1</v>
      </c>
      <c r="S63">
        <f t="shared" si="4"/>
        <v>1.8470300448370551</v>
      </c>
      <c r="T63">
        <v>-0.84548313104080408</v>
      </c>
      <c r="U63">
        <f t="shared" si="5"/>
        <v>-2.6925131758778593</v>
      </c>
    </row>
    <row r="64" spans="1:21">
      <c r="A64">
        <f t="shared" si="6"/>
        <v>63</v>
      </c>
      <c r="B64" s="2">
        <f t="shared" si="7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36">
        <v>4.7</v>
      </c>
      <c r="H64" s="5">
        <v>10</v>
      </c>
      <c r="I64" s="41" t="s">
        <v>10</v>
      </c>
      <c r="J64" s="45" t="s">
        <v>17</v>
      </c>
      <c r="K64">
        <v>1141</v>
      </c>
      <c r="L64">
        <f t="shared" si="3"/>
        <v>1</v>
      </c>
      <c r="M64">
        <v>75.443494535765566</v>
      </c>
      <c r="N64">
        <v>76.103356481617084</v>
      </c>
      <c r="O64">
        <f t="shared" si="8"/>
        <v>0</v>
      </c>
      <c r="P64">
        <f t="shared" si="9"/>
        <v>1</v>
      </c>
      <c r="Q64">
        <f t="shared" si="10"/>
        <v>1.111</v>
      </c>
      <c r="R64">
        <v>1</v>
      </c>
      <c r="S64">
        <f t="shared" si="4"/>
        <v>1.7638783725323615</v>
      </c>
      <c r="T64">
        <v>0.2147218780089506</v>
      </c>
      <c r="U64">
        <f t="shared" si="5"/>
        <v>-1.5491564945234109</v>
      </c>
    </row>
    <row r="65" spans="1:21">
      <c r="A65">
        <f t="shared" si="6"/>
        <v>64</v>
      </c>
      <c r="B65" s="2">
        <f t="shared" si="7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36">
        <v>5.0999999999999996</v>
      </c>
      <c r="H65" s="5">
        <v>10</v>
      </c>
      <c r="I65" s="41" t="s">
        <v>10</v>
      </c>
      <c r="J65" s="45" t="s">
        <v>14</v>
      </c>
      <c r="K65">
        <v>290</v>
      </c>
      <c r="L65">
        <f t="shared" si="3"/>
        <v>3</v>
      </c>
      <c r="M65">
        <v>177.63849874835083</v>
      </c>
      <c r="N65">
        <v>177.91974662068245</v>
      </c>
      <c r="O65">
        <f t="shared" si="8"/>
        <v>0</v>
      </c>
      <c r="P65">
        <f t="shared" si="9"/>
        <v>1</v>
      </c>
      <c r="Q65">
        <f t="shared" si="10"/>
        <v>1.355</v>
      </c>
      <c r="R65">
        <v>0</v>
      </c>
      <c r="S65">
        <f t="shared" si="4"/>
        <v>1.0287040927555857</v>
      </c>
      <c r="T65">
        <v>0.3158083076829904</v>
      </c>
      <c r="U65">
        <f t="shared" si="5"/>
        <v>-0.71289578507259532</v>
      </c>
    </row>
    <row r="66" spans="1:21">
      <c r="A66">
        <f t="shared" si="6"/>
        <v>65</v>
      </c>
      <c r="B66" s="2">
        <f t="shared" si="7"/>
        <v>34</v>
      </c>
      <c r="C66" s="18">
        <v>43332</v>
      </c>
      <c r="D66" s="19">
        <v>6.2870370370370368E-2</v>
      </c>
      <c r="E66" s="20">
        <v>-8.27</v>
      </c>
      <c r="F66" s="20">
        <v>116.73</v>
      </c>
      <c r="G66" s="36">
        <v>5.0999999999999996</v>
      </c>
      <c r="H66" s="20">
        <v>10</v>
      </c>
      <c r="I66" s="2" t="s">
        <v>10</v>
      </c>
      <c r="J66" s="45" t="s">
        <v>16</v>
      </c>
      <c r="K66">
        <v>770</v>
      </c>
      <c r="L66">
        <f t="shared" si="3"/>
        <v>1</v>
      </c>
      <c r="M66">
        <v>74.49554657433103</v>
      </c>
      <c r="N66">
        <v>75.163731010430311</v>
      </c>
      <c r="O66">
        <f t="shared" ref="O66:O97" si="11">IF(H66&lt;15,0,1)</f>
        <v>0</v>
      </c>
      <c r="P66">
        <f t="shared" ref="P66:P97" si="12">IF(I66="reverse",1,0)</f>
        <v>1</v>
      </c>
      <c r="Q66">
        <f t="shared" ref="Q66:Q97" si="13">IF(L66=1,$W$8,IF(L66=2,$W$9,$W$10))</f>
        <v>1.111</v>
      </c>
      <c r="R66">
        <v>1</v>
      </c>
      <c r="S66">
        <f t="shared" si="4"/>
        <v>2.2156198873988018</v>
      </c>
      <c r="T66">
        <v>-0.83960180856252176</v>
      </c>
      <c r="U66">
        <f t="shared" si="5"/>
        <v>-3.0552216959613236</v>
      </c>
    </row>
    <row r="67" spans="1:21">
      <c r="A67">
        <f t="shared" si="6"/>
        <v>66</v>
      </c>
      <c r="B67" s="2">
        <f t="shared" si="7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36">
        <v>5.0999999999999996</v>
      </c>
      <c r="H67" s="5">
        <v>10</v>
      </c>
      <c r="I67" s="41" t="s">
        <v>10</v>
      </c>
      <c r="J67" s="45" t="s">
        <v>19</v>
      </c>
      <c r="K67">
        <v>283</v>
      </c>
      <c r="L67">
        <f t="shared" ref="L67:L130" si="14">IF(K67&gt;600,1,IF(AND(K67&lt;=600,K67&gt;300),2,3))</f>
        <v>3</v>
      </c>
      <c r="M67">
        <v>79.652811637316844</v>
      </c>
      <c r="N67">
        <v>80.278081701856067</v>
      </c>
      <c r="O67">
        <f t="shared" si="11"/>
        <v>0</v>
      </c>
      <c r="P67">
        <f t="shared" si="12"/>
        <v>1</v>
      </c>
      <c r="Q67">
        <f t="shared" si="13"/>
        <v>1.355</v>
      </c>
      <c r="R67">
        <v>0</v>
      </c>
      <c r="S67">
        <f t="shared" ref="S67:S130" si="15">$W$2*G67+$W$3*N67-LN(N67+($W$4*EXP($W$5*G67)))+$W$6*(H67-15)*O67+$W$7*P67+Q67</f>
        <v>2.3660772398225989</v>
      </c>
      <c r="T67">
        <v>0.36578338419349454</v>
      </c>
      <c r="U67">
        <f t="shared" ref="U67:U130" si="16">T67-S67</f>
        <v>-2.0002938556291046</v>
      </c>
    </row>
    <row r="68" spans="1:21">
      <c r="A68">
        <f t="shared" ref="A68:A131" si="17">A67+1</f>
        <v>67</v>
      </c>
      <c r="B68" s="2">
        <f t="shared" si="7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36">
        <v>5.0999999999999996</v>
      </c>
      <c r="H68" s="5">
        <v>10</v>
      </c>
      <c r="I68" s="41" t="s">
        <v>10</v>
      </c>
      <c r="J68" s="45" t="s">
        <v>17</v>
      </c>
      <c r="K68">
        <v>1141</v>
      </c>
      <c r="L68">
        <f t="shared" si="14"/>
        <v>1</v>
      </c>
      <c r="M68">
        <v>54.678992298396473</v>
      </c>
      <c r="N68">
        <v>55.585899280016157</v>
      </c>
      <c r="O68">
        <f t="shared" si="11"/>
        <v>0</v>
      </c>
      <c r="P68">
        <f t="shared" si="12"/>
        <v>1</v>
      </c>
      <c r="Q68">
        <f t="shared" si="13"/>
        <v>1.111</v>
      </c>
      <c r="R68">
        <v>0</v>
      </c>
      <c r="S68">
        <f t="shared" si="15"/>
        <v>2.621553286080494</v>
      </c>
      <c r="T68">
        <v>1.2712615819473545</v>
      </c>
      <c r="U68">
        <f t="shared" si="16"/>
        <v>-1.3502917041331395</v>
      </c>
    </row>
    <row r="69" spans="1:21">
      <c r="A69">
        <f t="shared" si="17"/>
        <v>68</v>
      </c>
      <c r="B69" s="2">
        <f t="shared" si="7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36">
        <v>5</v>
      </c>
      <c r="H69" s="5">
        <v>10</v>
      </c>
      <c r="I69" s="41" t="s">
        <v>10</v>
      </c>
      <c r="J69" s="45" t="s">
        <v>14</v>
      </c>
      <c r="K69">
        <v>290</v>
      </c>
      <c r="L69">
        <f t="shared" si="14"/>
        <v>3</v>
      </c>
      <c r="M69">
        <v>206.86371328942161</v>
      </c>
      <c r="N69">
        <v>207.10527727677058</v>
      </c>
      <c r="O69">
        <f t="shared" si="11"/>
        <v>0</v>
      </c>
      <c r="P69">
        <f t="shared" si="12"/>
        <v>1</v>
      </c>
      <c r="Q69">
        <f t="shared" si="13"/>
        <v>1.355</v>
      </c>
      <c r="R69">
        <v>1</v>
      </c>
      <c r="S69">
        <f t="shared" si="15"/>
        <v>0.60383641600156335</v>
      </c>
      <c r="T69">
        <v>-0.86563530297095215</v>
      </c>
      <c r="U69">
        <f t="shared" si="16"/>
        <v>-1.4694717189725155</v>
      </c>
    </row>
    <row r="70" spans="1:21">
      <c r="A70">
        <f t="shared" si="17"/>
        <v>69</v>
      </c>
      <c r="B70" s="2">
        <f t="shared" si="7"/>
        <v>36</v>
      </c>
      <c r="C70" s="18">
        <v>43336</v>
      </c>
      <c r="D70" s="19">
        <v>4.763888888888889E-2</v>
      </c>
      <c r="E70" s="20">
        <v>-8.26</v>
      </c>
      <c r="F70" s="20">
        <v>116.14</v>
      </c>
      <c r="G70" s="36">
        <v>4.4000000000000004</v>
      </c>
      <c r="H70" s="20">
        <v>10</v>
      </c>
      <c r="I70" s="2" t="s">
        <v>10</v>
      </c>
      <c r="J70" s="45" t="s">
        <v>16</v>
      </c>
      <c r="K70">
        <v>770</v>
      </c>
      <c r="L70">
        <f t="shared" si="14"/>
        <v>1</v>
      </c>
      <c r="M70">
        <v>58.306907947928202</v>
      </c>
      <c r="N70">
        <v>59.158224402429227</v>
      </c>
      <c r="O70">
        <f t="shared" si="11"/>
        <v>0</v>
      </c>
      <c r="P70">
        <f t="shared" si="12"/>
        <v>1</v>
      </c>
      <c r="Q70">
        <f t="shared" si="13"/>
        <v>1.111</v>
      </c>
      <c r="R70">
        <v>1</v>
      </c>
      <c r="S70">
        <f t="shared" si="15"/>
        <v>1.7818220458060789</v>
      </c>
      <c r="T70">
        <v>-0.11664087471724607</v>
      </c>
      <c r="U70">
        <f t="shared" si="16"/>
        <v>-1.898462920523325</v>
      </c>
    </row>
    <row r="71" spans="1:21">
      <c r="A71">
        <f t="shared" si="17"/>
        <v>70</v>
      </c>
      <c r="B71" s="2">
        <f t="shared" ref="B71:B134" si="18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36">
        <v>4.4000000000000004</v>
      </c>
      <c r="H71" s="5">
        <v>10</v>
      </c>
      <c r="I71" s="41" t="s">
        <v>10</v>
      </c>
      <c r="J71" s="45" t="s">
        <v>19</v>
      </c>
      <c r="K71">
        <v>283</v>
      </c>
      <c r="L71">
        <f t="shared" si="14"/>
        <v>3</v>
      </c>
      <c r="M71">
        <v>143.68082400490985</v>
      </c>
      <c r="N71">
        <v>144.02839715392892</v>
      </c>
      <c r="O71">
        <f t="shared" si="11"/>
        <v>0</v>
      </c>
      <c r="P71">
        <f t="shared" si="12"/>
        <v>1</v>
      </c>
      <c r="Q71">
        <f t="shared" si="13"/>
        <v>1.355</v>
      </c>
      <c r="R71">
        <v>1</v>
      </c>
      <c r="S71">
        <f t="shared" si="15"/>
        <v>0.66365646503976283</v>
      </c>
      <c r="T71">
        <v>-2.8503170789926475</v>
      </c>
      <c r="U71">
        <f t="shared" si="16"/>
        <v>-3.5139735440324102</v>
      </c>
    </row>
    <row r="72" spans="1:21">
      <c r="A72">
        <f t="shared" si="17"/>
        <v>71</v>
      </c>
      <c r="B72" s="2">
        <f t="shared" si="18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36">
        <v>4.4000000000000004</v>
      </c>
      <c r="H72" s="5">
        <v>10</v>
      </c>
      <c r="I72" s="41" t="s">
        <v>10</v>
      </c>
      <c r="J72" s="45" t="s">
        <v>17</v>
      </c>
      <c r="K72">
        <v>1141</v>
      </c>
      <c r="L72">
        <f t="shared" si="14"/>
        <v>1</v>
      </c>
      <c r="M72">
        <v>98.06698322263297</v>
      </c>
      <c r="N72">
        <v>98.575520279571322</v>
      </c>
      <c r="O72">
        <f t="shared" si="11"/>
        <v>0</v>
      </c>
      <c r="P72">
        <f t="shared" si="12"/>
        <v>1</v>
      </c>
      <c r="Q72">
        <f t="shared" si="13"/>
        <v>1.111</v>
      </c>
      <c r="R72">
        <v>1</v>
      </c>
      <c r="S72">
        <f t="shared" si="15"/>
        <v>1.0531699852480472</v>
      </c>
      <c r="T72">
        <v>-0.74067108963443784</v>
      </c>
      <c r="U72">
        <f t="shared" si="16"/>
        <v>-1.7938410748824851</v>
      </c>
    </row>
    <row r="73" spans="1:21">
      <c r="A73">
        <f t="shared" si="17"/>
        <v>72</v>
      </c>
      <c r="B73" s="2">
        <f t="shared" si="18"/>
        <v>37</v>
      </c>
      <c r="C73" s="18">
        <v>43337</v>
      </c>
      <c r="D73" s="19">
        <v>0.46883101851851849</v>
      </c>
      <c r="E73" s="20">
        <v>-8.2799999999999994</v>
      </c>
      <c r="F73" s="20">
        <v>116.16</v>
      </c>
      <c r="G73" s="36">
        <v>3.5</v>
      </c>
      <c r="H73" s="20">
        <v>10</v>
      </c>
      <c r="I73" s="2" t="s">
        <v>10</v>
      </c>
      <c r="J73" s="45" t="s">
        <v>16</v>
      </c>
      <c r="K73">
        <v>770</v>
      </c>
      <c r="L73">
        <f t="shared" si="14"/>
        <v>1</v>
      </c>
      <c r="M73">
        <v>55.597799097160255</v>
      </c>
      <c r="N73">
        <v>56.489957199914691</v>
      </c>
      <c r="O73">
        <f t="shared" si="11"/>
        <v>0</v>
      </c>
      <c r="P73">
        <f t="shared" si="12"/>
        <v>1</v>
      </c>
      <c r="Q73">
        <f t="shared" si="13"/>
        <v>1.111</v>
      </c>
      <c r="R73">
        <v>1</v>
      </c>
      <c r="S73">
        <f t="shared" si="15"/>
        <v>0.85857680476963327</v>
      </c>
      <c r="T73">
        <v>-0.83371242274161694</v>
      </c>
      <c r="U73">
        <f t="shared" si="16"/>
        <v>-1.6922892275112502</v>
      </c>
    </row>
    <row r="74" spans="1:21">
      <c r="A74">
        <f t="shared" si="17"/>
        <v>73</v>
      </c>
      <c r="B74" s="2">
        <f t="shared" si="18"/>
        <v>38</v>
      </c>
      <c r="C74" s="18">
        <v>43338</v>
      </c>
      <c r="D74" s="19">
        <v>6.4780092592592597E-2</v>
      </c>
      <c r="E74" s="20">
        <v>-8.5500000000000007</v>
      </c>
      <c r="F74" s="20">
        <v>116.93</v>
      </c>
      <c r="G74" s="36">
        <v>5.4</v>
      </c>
      <c r="H74" s="20">
        <v>11</v>
      </c>
      <c r="I74" s="2" t="s">
        <v>10</v>
      </c>
      <c r="J74" s="45" t="s">
        <v>16</v>
      </c>
      <c r="K74">
        <v>770</v>
      </c>
      <c r="L74">
        <f t="shared" si="14"/>
        <v>1</v>
      </c>
      <c r="M74">
        <v>76.217387166239277</v>
      </c>
      <c r="N74">
        <v>77.007078287962699</v>
      </c>
      <c r="O74">
        <f t="shared" si="11"/>
        <v>0</v>
      </c>
      <c r="P74">
        <f t="shared" si="12"/>
        <v>1</v>
      </c>
      <c r="Q74">
        <f t="shared" si="13"/>
        <v>1.111</v>
      </c>
      <c r="R74">
        <v>0</v>
      </c>
      <c r="S74">
        <f t="shared" si="15"/>
        <v>2.5051168881270174</v>
      </c>
      <c r="T74">
        <v>0.74896472457792673</v>
      </c>
      <c r="U74">
        <f t="shared" si="16"/>
        <v>-1.7561521635490907</v>
      </c>
    </row>
    <row r="75" spans="1:21">
      <c r="A75">
        <f t="shared" si="17"/>
        <v>74</v>
      </c>
      <c r="B75" s="2">
        <f t="shared" si="18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36">
        <v>5.4</v>
      </c>
      <c r="H75" s="5">
        <v>11</v>
      </c>
      <c r="I75" s="41" t="s">
        <v>10</v>
      </c>
      <c r="J75" s="45" t="s">
        <v>19</v>
      </c>
      <c r="K75">
        <v>283</v>
      </c>
      <c r="L75">
        <f t="shared" si="14"/>
        <v>3</v>
      </c>
      <c r="M75">
        <v>54.101593478657179</v>
      </c>
      <c r="N75">
        <v>55.208535725283284</v>
      </c>
      <c r="O75">
        <f t="shared" si="11"/>
        <v>0</v>
      </c>
      <c r="P75">
        <f t="shared" si="12"/>
        <v>1</v>
      </c>
      <c r="Q75">
        <f t="shared" si="13"/>
        <v>1.355</v>
      </c>
      <c r="R75">
        <v>0</v>
      </c>
      <c r="S75">
        <f t="shared" si="15"/>
        <v>3.1954955039978419</v>
      </c>
      <c r="T75">
        <v>1.2758891383377289</v>
      </c>
      <c r="U75">
        <f t="shared" si="16"/>
        <v>-1.919606365660113</v>
      </c>
    </row>
    <row r="76" spans="1:21">
      <c r="A76">
        <f t="shared" si="17"/>
        <v>75</v>
      </c>
      <c r="B76" s="2">
        <f t="shared" si="18"/>
        <v>38</v>
      </c>
      <c r="C76" s="3">
        <v>43338</v>
      </c>
      <c r="D76" s="4">
        <v>6.4780092592592597E-2</v>
      </c>
      <c r="E76" s="20">
        <v>-8.5500000000000007</v>
      </c>
      <c r="F76" s="20">
        <v>116.93</v>
      </c>
      <c r="G76" s="36">
        <v>5.4</v>
      </c>
      <c r="H76" s="5">
        <v>11</v>
      </c>
      <c r="I76" s="41" t="s">
        <v>10</v>
      </c>
      <c r="J76" s="45" t="s">
        <v>17</v>
      </c>
      <c r="K76">
        <v>1141</v>
      </c>
      <c r="L76">
        <f t="shared" si="14"/>
        <v>1</v>
      </c>
      <c r="M76">
        <v>21.567600659509985</v>
      </c>
      <c r="N76">
        <v>24.210770293571734</v>
      </c>
      <c r="O76">
        <f t="shared" si="11"/>
        <v>0</v>
      </c>
      <c r="P76">
        <f t="shared" si="12"/>
        <v>1</v>
      </c>
      <c r="Q76">
        <f t="shared" si="13"/>
        <v>1.111</v>
      </c>
      <c r="R76">
        <v>0</v>
      </c>
      <c r="S76">
        <f t="shared" si="15"/>
        <v>3.9094336721354859</v>
      </c>
      <c r="T76">
        <v>3.8789455134959634</v>
      </c>
      <c r="U76">
        <f t="shared" si="16"/>
        <v>-3.0488158639522478E-2</v>
      </c>
    </row>
    <row r="77" spans="1:21">
      <c r="A77">
        <f t="shared" si="17"/>
        <v>76</v>
      </c>
      <c r="B77" s="2">
        <f t="shared" si="18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36">
        <v>4.8</v>
      </c>
      <c r="H77" s="5">
        <v>10</v>
      </c>
      <c r="I77" s="41" t="s">
        <v>10</v>
      </c>
      <c r="J77" s="45" t="s">
        <v>19</v>
      </c>
      <c r="K77">
        <v>283</v>
      </c>
      <c r="L77">
        <f t="shared" si="14"/>
        <v>3</v>
      </c>
      <c r="M77">
        <v>150.88889346446217</v>
      </c>
      <c r="N77">
        <v>151.21990004933153</v>
      </c>
      <c r="O77">
        <f t="shared" si="11"/>
        <v>0</v>
      </c>
      <c r="P77">
        <f t="shared" si="12"/>
        <v>1</v>
      </c>
      <c r="Q77">
        <f t="shared" si="13"/>
        <v>1.355</v>
      </c>
      <c r="R77">
        <v>1</v>
      </c>
      <c r="S77">
        <f t="shared" si="15"/>
        <v>1.0127172725889455</v>
      </c>
      <c r="T77">
        <v>-1.6911631615526361</v>
      </c>
      <c r="U77">
        <f t="shared" si="16"/>
        <v>-2.7038804341415816</v>
      </c>
    </row>
    <row r="78" spans="1:21">
      <c r="A78">
        <f t="shared" si="17"/>
        <v>77</v>
      </c>
      <c r="B78" s="2">
        <f t="shared" si="18"/>
        <v>39</v>
      </c>
      <c r="C78" s="3">
        <v>43343</v>
      </c>
      <c r="D78" s="4">
        <v>0.1092013888888889</v>
      </c>
      <c r="E78" s="20">
        <v>-8.3699999999999992</v>
      </c>
      <c r="F78" s="20">
        <v>116.06</v>
      </c>
      <c r="G78" s="36">
        <v>4.8</v>
      </c>
      <c r="H78" s="5">
        <v>10</v>
      </c>
      <c r="I78" s="41" t="s">
        <v>10</v>
      </c>
      <c r="J78" s="45" t="s">
        <v>17</v>
      </c>
      <c r="K78">
        <v>1141</v>
      </c>
      <c r="L78">
        <f t="shared" si="14"/>
        <v>1</v>
      </c>
      <c r="M78">
        <v>100.06290501663518</v>
      </c>
      <c r="N78">
        <v>100.56134923701131</v>
      </c>
      <c r="O78">
        <f t="shared" si="11"/>
        <v>0</v>
      </c>
      <c r="P78">
        <f t="shared" si="12"/>
        <v>1</v>
      </c>
      <c r="Q78">
        <f t="shared" si="13"/>
        <v>1.111</v>
      </c>
      <c r="R78">
        <v>1</v>
      </c>
      <c r="S78">
        <f t="shared" si="15"/>
        <v>1.4591563480433489</v>
      </c>
      <c r="T78">
        <v>0.6050154449188716</v>
      </c>
      <c r="U78">
        <f t="shared" si="16"/>
        <v>-0.85414090312447732</v>
      </c>
    </row>
    <row r="79" spans="1:21">
      <c r="A79">
        <f t="shared" si="17"/>
        <v>78</v>
      </c>
      <c r="B79" s="2">
        <f t="shared" si="18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36">
        <v>4</v>
      </c>
      <c r="H79" s="5">
        <v>10</v>
      </c>
      <c r="I79" s="41" t="s">
        <v>10</v>
      </c>
      <c r="J79" s="45" t="s">
        <v>14</v>
      </c>
      <c r="K79">
        <v>290</v>
      </c>
      <c r="L79">
        <f t="shared" si="14"/>
        <v>3</v>
      </c>
      <c r="M79">
        <v>167.64476863286811</v>
      </c>
      <c r="N79">
        <v>167.94275349049116</v>
      </c>
      <c r="O79">
        <f t="shared" si="11"/>
        <v>0</v>
      </c>
      <c r="P79">
        <f t="shared" si="12"/>
        <v>1</v>
      </c>
      <c r="Q79">
        <f t="shared" si="13"/>
        <v>1.355</v>
      </c>
      <c r="R79">
        <v>0</v>
      </c>
      <c r="S79">
        <f t="shared" si="15"/>
        <v>-6.3279642852464235E-2</v>
      </c>
      <c r="T79">
        <v>-2.4627606917523579</v>
      </c>
      <c r="U79">
        <f t="shared" si="16"/>
        <v>-2.3994810488998937</v>
      </c>
    </row>
    <row r="80" spans="1:21">
      <c r="A80">
        <f t="shared" si="17"/>
        <v>79</v>
      </c>
      <c r="B80" s="2">
        <f t="shared" si="18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36">
        <v>4</v>
      </c>
      <c r="H80" s="5">
        <v>10</v>
      </c>
      <c r="I80" s="41" t="s">
        <v>10</v>
      </c>
      <c r="J80" s="45" t="s">
        <v>17</v>
      </c>
      <c r="K80">
        <v>1141</v>
      </c>
      <c r="L80">
        <f t="shared" si="14"/>
        <v>1</v>
      </c>
      <c r="M80">
        <v>63.28816253904116</v>
      </c>
      <c r="N80">
        <v>64.073329221822803</v>
      </c>
      <c r="O80">
        <f t="shared" si="11"/>
        <v>0</v>
      </c>
      <c r="P80">
        <f t="shared" si="12"/>
        <v>1</v>
      </c>
      <c r="Q80">
        <f t="shared" si="13"/>
        <v>1.111</v>
      </c>
      <c r="R80">
        <v>0</v>
      </c>
      <c r="S80">
        <f t="shared" si="15"/>
        <v>1.2381648375242325</v>
      </c>
      <c r="T80">
        <v>-1.1605235957072699</v>
      </c>
      <c r="U80">
        <f t="shared" si="16"/>
        <v>-2.3986884332315022</v>
      </c>
    </row>
    <row r="81" spans="1:21">
      <c r="A81">
        <f t="shared" si="17"/>
        <v>80</v>
      </c>
      <c r="B81" s="2">
        <f t="shared" si="18"/>
        <v>41</v>
      </c>
      <c r="C81" s="25">
        <v>43346</v>
      </c>
      <c r="D81" s="26">
        <v>0.8206134259259259</v>
      </c>
      <c r="E81" s="27">
        <v>-8.2799999999999994</v>
      </c>
      <c r="F81" s="27">
        <v>116.12</v>
      </c>
      <c r="G81" s="36">
        <v>3.8</v>
      </c>
      <c r="H81" s="27">
        <v>12</v>
      </c>
      <c r="I81" s="2" t="s">
        <v>10</v>
      </c>
      <c r="J81" s="45" t="s">
        <v>16</v>
      </c>
      <c r="K81">
        <v>770</v>
      </c>
      <c r="L81">
        <f t="shared" si="14"/>
        <v>1</v>
      </c>
      <c r="M81">
        <v>56.817893431278847</v>
      </c>
      <c r="N81">
        <v>58.071275291387906</v>
      </c>
      <c r="O81">
        <f t="shared" si="11"/>
        <v>0</v>
      </c>
      <c r="P81">
        <f t="shared" si="12"/>
        <v>1</v>
      </c>
      <c r="Q81">
        <f t="shared" si="13"/>
        <v>1.111</v>
      </c>
      <c r="R81">
        <v>1</v>
      </c>
      <c r="S81">
        <f t="shared" si="15"/>
        <v>1.1508854591933062</v>
      </c>
      <c r="T81">
        <v>-1.2152653073250448</v>
      </c>
      <c r="U81">
        <f t="shared" si="16"/>
        <v>-2.3661507665183512</v>
      </c>
    </row>
    <row r="82" spans="1:21">
      <c r="A82">
        <f t="shared" si="17"/>
        <v>81</v>
      </c>
      <c r="B82" s="2">
        <f t="shared" si="18"/>
        <v>42</v>
      </c>
      <c r="C82" s="25">
        <v>43347</v>
      </c>
      <c r="D82" s="26">
        <v>0.43399305555794854</v>
      </c>
      <c r="E82" s="5">
        <v>-8.49</v>
      </c>
      <c r="F82" s="5">
        <v>116.93</v>
      </c>
      <c r="G82" s="36">
        <v>3.8</v>
      </c>
      <c r="H82" s="5">
        <v>10</v>
      </c>
      <c r="I82" s="2" t="s">
        <v>10</v>
      </c>
      <c r="J82" s="45" t="s">
        <v>16</v>
      </c>
      <c r="K82">
        <v>770</v>
      </c>
      <c r="L82">
        <f t="shared" si="14"/>
        <v>1</v>
      </c>
      <c r="M82">
        <v>78.572321998070137</v>
      </c>
      <c r="N82">
        <v>79.206122138180817</v>
      </c>
      <c r="O82">
        <f t="shared" si="11"/>
        <v>0</v>
      </c>
      <c r="P82">
        <f t="shared" si="12"/>
        <v>1</v>
      </c>
      <c r="Q82">
        <f t="shared" si="13"/>
        <v>1.111</v>
      </c>
      <c r="R82">
        <v>0</v>
      </c>
      <c r="S82">
        <f t="shared" si="15"/>
        <v>0.72282593196539213</v>
      </c>
      <c r="T82">
        <v>-1.6950712633623963</v>
      </c>
      <c r="U82">
        <f t="shared" si="16"/>
        <v>-2.4178971953277886</v>
      </c>
    </row>
    <row r="83" spans="1:21">
      <c r="A83">
        <f t="shared" si="17"/>
        <v>82</v>
      </c>
      <c r="B83" s="2">
        <f t="shared" si="18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36">
        <v>5</v>
      </c>
      <c r="H83" s="5">
        <v>10</v>
      </c>
      <c r="I83" s="41" t="s">
        <v>10</v>
      </c>
      <c r="J83" s="45" t="s">
        <v>14</v>
      </c>
      <c r="K83">
        <v>290</v>
      </c>
      <c r="L83">
        <f t="shared" si="14"/>
        <v>3</v>
      </c>
      <c r="M83">
        <v>148.74898529807919</v>
      </c>
      <c r="N83">
        <v>149.08474310675851</v>
      </c>
      <c r="O83">
        <f t="shared" si="11"/>
        <v>0</v>
      </c>
      <c r="P83">
        <f t="shared" si="12"/>
        <v>1</v>
      </c>
      <c r="Q83">
        <f t="shared" si="13"/>
        <v>1.355</v>
      </c>
      <c r="R83">
        <v>0</v>
      </c>
      <c r="S83">
        <f t="shared" si="15"/>
        <v>1.2575122625950161</v>
      </c>
      <c r="T83">
        <v>-6.2276077821411986E-2</v>
      </c>
      <c r="U83">
        <f t="shared" si="16"/>
        <v>-1.3197883404164281</v>
      </c>
    </row>
    <row r="84" spans="1:21">
      <c r="A84">
        <f t="shared" si="17"/>
        <v>83</v>
      </c>
      <c r="B84" s="2">
        <f t="shared" si="18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36">
        <v>4.9000000000000004</v>
      </c>
      <c r="H84" s="5">
        <v>10</v>
      </c>
      <c r="I84" s="41" t="s">
        <v>10</v>
      </c>
      <c r="J84" s="45" t="s">
        <v>15</v>
      </c>
      <c r="K84">
        <v>210</v>
      </c>
      <c r="L84">
        <f t="shared" si="14"/>
        <v>3</v>
      </c>
      <c r="M84">
        <v>70.821365178451273</v>
      </c>
      <c r="N84">
        <v>71.523882485080122</v>
      </c>
      <c r="O84">
        <f t="shared" si="11"/>
        <v>0</v>
      </c>
      <c r="P84">
        <f t="shared" si="12"/>
        <v>1</v>
      </c>
      <c r="Q84">
        <f t="shared" si="13"/>
        <v>1.355</v>
      </c>
      <c r="R84">
        <v>1</v>
      </c>
      <c r="S84">
        <f t="shared" si="15"/>
        <v>2.3123068643397522</v>
      </c>
      <c r="T84">
        <v>-1.1812244823684244</v>
      </c>
      <c r="U84">
        <f t="shared" si="16"/>
        <v>-3.4935313467081768</v>
      </c>
    </row>
    <row r="85" spans="1:21">
      <c r="A85">
        <f t="shared" si="17"/>
        <v>84</v>
      </c>
      <c r="B85" s="2">
        <f t="shared" si="18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36">
        <v>4.9000000000000004</v>
      </c>
      <c r="H85" s="5">
        <v>10</v>
      </c>
      <c r="I85" s="41" t="s">
        <v>10</v>
      </c>
      <c r="J85" s="45" t="s">
        <v>19</v>
      </c>
      <c r="K85">
        <v>283</v>
      </c>
      <c r="L85">
        <f t="shared" si="14"/>
        <v>3</v>
      </c>
      <c r="M85">
        <v>87.409156199622487</v>
      </c>
      <c r="N85">
        <v>87.979319089942962</v>
      </c>
      <c r="O85">
        <f t="shared" si="11"/>
        <v>0</v>
      </c>
      <c r="P85">
        <f t="shared" si="12"/>
        <v>1</v>
      </c>
      <c r="Q85">
        <f t="shared" si="13"/>
        <v>1.355</v>
      </c>
      <c r="R85">
        <v>0</v>
      </c>
      <c r="S85">
        <f t="shared" si="15"/>
        <v>2.015247209195314</v>
      </c>
      <c r="T85">
        <v>-0.58071616640750345</v>
      </c>
      <c r="U85">
        <f t="shared" si="16"/>
        <v>-2.5959633756028175</v>
      </c>
    </row>
    <row r="86" spans="1:21">
      <c r="A86">
        <f t="shared" si="17"/>
        <v>85</v>
      </c>
      <c r="B86" s="2">
        <f t="shared" si="18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36">
        <v>4.7</v>
      </c>
      <c r="H86" s="5">
        <v>5</v>
      </c>
      <c r="I86" s="41" t="s">
        <v>10</v>
      </c>
      <c r="J86" s="45" t="s">
        <v>14</v>
      </c>
      <c r="K86">
        <v>290</v>
      </c>
      <c r="L86">
        <f t="shared" si="14"/>
        <v>3</v>
      </c>
      <c r="M86">
        <v>196.8111840223722</v>
      </c>
      <c r="N86">
        <v>196.87468642841836</v>
      </c>
      <c r="O86">
        <f t="shared" si="11"/>
        <v>0</v>
      </c>
      <c r="P86">
        <f t="shared" si="12"/>
        <v>1</v>
      </c>
      <c r="Q86">
        <f t="shared" si="13"/>
        <v>1.355</v>
      </c>
      <c r="R86">
        <v>1</v>
      </c>
      <c r="S86">
        <f t="shared" si="15"/>
        <v>0.3832957854240161</v>
      </c>
      <c r="T86">
        <v>-1.2459028819406577</v>
      </c>
      <c r="U86">
        <f t="shared" si="16"/>
        <v>-1.6291986673646739</v>
      </c>
    </row>
    <row r="87" spans="1:21">
      <c r="A87">
        <f t="shared" si="17"/>
        <v>86</v>
      </c>
      <c r="B87" s="2">
        <f t="shared" si="18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36">
        <v>4.7</v>
      </c>
      <c r="H87" s="5">
        <v>5</v>
      </c>
      <c r="I87" s="41" t="s">
        <v>10</v>
      </c>
      <c r="J87" s="45" t="s">
        <v>15</v>
      </c>
      <c r="K87">
        <v>210</v>
      </c>
      <c r="L87">
        <f t="shared" si="14"/>
        <v>3</v>
      </c>
      <c r="M87">
        <v>71.928133474305866</v>
      </c>
      <c r="N87">
        <v>72.101708614273207</v>
      </c>
      <c r="O87">
        <f t="shared" si="11"/>
        <v>0</v>
      </c>
      <c r="P87">
        <f t="shared" si="12"/>
        <v>1</v>
      </c>
      <c r="Q87">
        <f t="shared" si="13"/>
        <v>1.355</v>
      </c>
      <c r="R87">
        <v>1</v>
      </c>
      <c r="S87">
        <f t="shared" si="15"/>
        <v>2.0838275545415819</v>
      </c>
      <c r="T87">
        <v>-1.0120084037439798</v>
      </c>
      <c r="U87">
        <f t="shared" si="16"/>
        <v>-3.0958359582855617</v>
      </c>
    </row>
    <row r="88" spans="1:21">
      <c r="A88">
        <f t="shared" si="17"/>
        <v>87</v>
      </c>
      <c r="B88" s="2">
        <f t="shared" si="18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36">
        <v>4.7</v>
      </c>
      <c r="H88" s="5">
        <v>5</v>
      </c>
      <c r="I88" s="41" t="s">
        <v>10</v>
      </c>
      <c r="J88" s="45" t="s">
        <v>19</v>
      </c>
      <c r="K88">
        <v>283</v>
      </c>
      <c r="L88">
        <f t="shared" si="14"/>
        <v>3</v>
      </c>
      <c r="M88">
        <v>100.73119085035158</v>
      </c>
      <c r="N88">
        <v>100.85520715426622</v>
      </c>
      <c r="O88">
        <f t="shared" si="11"/>
        <v>0</v>
      </c>
      <c r="P88">
        <f t="shared" si="12"/>
        <v>1</v>
      </c>
      <c r="Q88">
        <f t="shared" si="13"/>
        <v>1.355</v>
      </c>
      <c r="R88">
        <v>1</v>
      </c>
      <c r="S88">
        <f t="shared" si="15"/>
        <v>1.5894960527816755</v>
      </c>
      <c r="T88">
        <v>-1.0194330575765533</v>
      </c>
      <c r="U88">
        <f t="shared" si="16"/>
        <v>-2.6089291103582291</v>
      </c>
    </row>
    <row r="89" spans="1:21">
      <c r="A89">
        <f t="shared" si="17"/>
        <v>88</v>
      </c>
      <c r="B89" s="2">
        <f t="shared" si="18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36">
        <v>4.9000000000000004</v>
      </c>
      <c r="H89" s="5">
        <v>10</v>
      </c>
      <c r="I89" s="41" t="s">
        <v>10</v>
      </c>
      <c r="J89" s="45" t="s">
        <v>14</v>
      </c>
      <c r="K89">
        <v>290</v>
      </c>
      <c r="L89">
        <f t="shared" si="14"/>
        <v>3</v>
      </c>
      <c r="M89">
        <v>193.95907906707598</v>
      </c>
      <c r="N89">
        <v>194.21669431989679</v>
      </c>
      <c r="O89">
        <f t="shared" si="11"/>
        <v>0</v>
      </c>
      <c r="P89">
        <f t="shared" si="12"/>
        <v>1</v>
      </c>
      <c r="Q89">
        <f t="shared" si="13"/>
        <v>1.355</v>
      </c>
      <c r="R89">
        <v>0</v>
      </c>
      <c r="S89">
        <f t="shared" si="15"/>
        <v>0.63093099654568541</v>
      </c>
      <c r="T89">
        <v>-1.4275648386723991</v>
      </c>
      <c r="U89">
        <f t="shared" si="16"/>
        <v>-2.0584958352180847</v>
      </c>
    </row>
    <row r="90" spans="1:21">
      <c r="A90">
        <f t="shared" si="17"/>
        <v>89</v>
      </c>
      <c r="B90" s="2">
        <f t="shared" si="18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36">
        <v>4.9000000000000004</v>
      </c>
      <c r="H90" s="5">
        <v>10</v>
      </c>
      <c r="I90" s="41" t="s">
        <v>10</v>
      </c>
      <c r="J90" s="45" t="s">
        <v>15</v>
      </c>
      <c r="K90">
        <v>210</v>
      </c>
      <c r="L90">
        <f t="shared" si="14"/>
        <v>3</v>
      </c>
      <c r="M90">
        <v>71.45004970385618</v>
      </c>
      <c r="N90">
        <v>72.146445530486943</v>
      </c>
      <c r="O90">
        <f t="shared" si="11"/>
        <v>0</v>
      </c>
      <c r="P90">
        <f t="shared" si="12"/>
        <v>1</v>
      </c>
      <c r="Q90">
        <f t="shared" si="13"/>
        <v>1.355</v>
      </c>
      <c r="R90">
        <v>1</v>
      </c>
      <c r="S90">
        <f t="shared" si="15"/>
        <v>2.3002589040051422</v>
      </c>
      <c r="T90">
        <v>-0.60104537387642731</v>
      </c>
      <c r="U90">
        <f t="shared" si="16"/>
        <v>-2.9013042778815694</v>
      </c>
    </row>
    <row r="91" spans="1:21">
      <c r="A91">
        <f t="shared" si="17"/>
        <v>90</v>
      </c>
      <c r="B91" s="2">
        <f t="shared" si="18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36">
        <v>4.9000000000000004</v>
      </c>
      <c r="H91" s="5">
        <v>10</v>
      </c>
      <c r="I91" s="41" t="s">
        <v>10</v>
      </c>
      <c r="J91" s="45" t="s">
        <v>19</v>
      </c>
      <c r="K91">
        <v>283</v>
      </c>
      <c r="L91">
        <f t="shared" si="14"/>
        <v>3</v>
      </c>
      <c r="M91">
        <v>97.398208788098572</v>
      </c>
      <c r="N91">
        <v>97.910219462168712</v>
      </c>
      <c r="O91">
        <f t="shared" si="11"/>
        <v>0</v>
      </c>
      <c r="P91">
        <f t="shared" si="12"/>
        <v>1</v>
      </c>
      <c r="Q91">
        <f t="shared" si="13"/>
        <v>1.355</v>
      </c>
      <c r="R91">
        <v>0</v>
      </c>
      <c r="S91">
        <f t="shared" si="15"/>
        <v>1.8535332574715913</v>
      </c>
      <c r="T91">
        <v>-1.0525541071077309</v>
      </c>
      <c r="U91">
        <f t="shared" si="16"/>
        <v>-2.9060873645793222</v>
      </c>
    </row>
    <row r="92" spans="1:21">
      <c r="A92">
        <f t="shared" si="17"/>
        <v>91</v>
      </c>
      <c r="B92" s="2">
        <f t="shared" si="18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36">
        <v>4.5</v>
      </c>
      <c r="H92" s="5">
        <v>10</v>
      </c>
      <c r="I92" s="41" t="s">
        <v>10</v>
      </c>
      <c r="J92" s="45" t="s">
        <v>14</v>
      </c>
      <c r="K92">
        <v>290</v>
      </c>
      <c r="L92">
        <f t="shared" si="14"/>
        <v>3</v>
      </c>
      <c r="M92">
        <v>210.08629900607102</v>
      </c>
      <c r="N92">
        <v>210.32416178382425</v>
      </c>
      <c r="O92">
        <f t="shared" si="11"/>
        <v>0</v>
      </c>
      <c r="P92">
        <f t="shared" si="12"/>
        <v>1</v>
      </c>
      <c r="Q92">
        <f t="shared" si="13"/>
        <v>1.355</v>
      </c>
      <c r="R92">
        <v>1</v>
      </c>
      <c r="S92">
        <f t="shared" si="15"/>
        <v>2.2253441507155802E-2</v>
      </c>
      <c r="T92">
        <v>-2.3104953959488834</v>
      </c>
      <c r="U92">
        <f t="shared" si="16"/>
        <v>-2.3327488374560392</v>
      </c>
    </row>
    <row r="93" spans="1:21">
      <c r="A93">
        <f t="shared" si="17"/>
        <v>92</v>
      </c>
      <c r="B93" s="2">
        <f t="shared" si="18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36">
        <v>4.5</v>
      </c>
      <c r="H93" s="5">
        <v>10</v>
      </c>
      <c r="I93" s="41" t="s">
        <v>10</v>
      </c>
      <c r="J93" s="45" t="s">
        <v>19</v>
      </c>
      <c r="K93">
        <v>283</v>
      </c>
      <c r="L93">
        <f t="shared" si="14"/>
        <v>3</v>
      </c>
      <c r="M93">
        <v>113.49793514390502</v>
      </c>
      <c r="N93">
        <v>113.9376201345722</v>
      </c>
      <c r="O93">
        <f t="shared" si="11"/>
        <v>0</v>
      </c>
      <c r="P93">
        <f t="shared" si="12"/>
        <v>1</v>
      </c>
      <c r="Q93">
        <f t="shared" si="13"/>
        <v>1.355</v>
      </c>
      <c r="R93">
        <v>1</v>
      </c>
      <c r="S93">
        <f t="shared" si="15"/>
        <v>1.1760317711548982</v>
      </c>
      <c r="T93">
        <v>-1.5437534523029766</v>
      </c>
      <c r="U93">
        <f t="shared" si="16"/>
        <v>-2.7197852234578748</v>
      </c>
    </row>
    <row r="94" spans="1:21">
      <c r="A94">
        <f t="shared" si="17"/>
        <v>93</v>
      </c>
      <c r="B94" s="2">
        <f t="shared" si="18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36">
        <v>3.8</v>
      </c>
      <c r="H94" s="5">
        <v>10</v>
      </c>
      <c r="I94" s="41" t="s">
        <v>10</v>
      </c>
      <c r="J94" s="45" t="s">
        <v>15</v>
      </c>
      <c r="K94">
        <v>210</v>
      </c>
      <c r="L94">
        <f t="shared" si="14"/>
        <v>3</v>
      </c>
      <c r="M94">
        <v>28.931001680991574</v>
      </c>
      <c r="N94">
        <v>30.610502417724824</v>
      </c>
      <c r="O94">
        <f t="shared" si="11"/>
        <v>0</v>
      </c>
      <c r="P94">
        <f t="shared" si="12"/>
        <v>1</v>
      </c>
      <c r="Q94">
        <f t="shared" si="13"/>
        <v>1.355</v>
      </c>
      <c r="R94">
        <v>1</v>
      </c>
      <c r="S94">
        <f t="shared" si="15"/>
        <v>2.1849872081408703</v>
      </c>
      <c r="T94">
        <v>-0.82127216750367693</v>
      </c>
      <c r="U94">
        <f t="shared" si="16"/>
        <v>-3.0062593756445475</v>
      </c>
    </row>
    <row r="95" spans="1:21">
      <c r="A95">
        <f t="shared" si="17"/>
        <v>94</v>
      </c>
      <c r="B95" s="2">
        <f t="shared" si="18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36">
        <v>4.2</v>
      </c>
      <c r="H95" s="5">
        <v>12</v>
      </c>
      <c r="I95" s="41" t="s">
        <v>10</v>
      </c>
      <c r="J95" s="45" t="s">
        <v>14</v>
      </c>
      <c r="K95">
        <v>290</v>
      </c>
      <c r="L95">
        <f t="shared" si="14"/>
        <v>3</v>
      </c>
      <c r="M95">
        <v>219.07442776542351</v>
      </c>
      <c r="N95">
        <v>219.40283703896759</v>
      </c>
      <c r="O95">
        <f t="shared" si="11"/>
        <v>0</v>
      </c>
      <c r="P95">
        <f t="shared" si="12"/>
        <v>1</v>
      </c>
      <c r="Q95">
        <f t="shared" si="13"/>
        <v>1.355</v>
      </c>
      <c r="R95">
        <v>1</v>
      </c>
      <c r="S95">
        <f t="shared" si="15"/>
        <v>-0.4004780170193083</v>
      </c>
      <c r="T95">
        <v>-2.1410394673235915</v>
      </c>
      <c r="U95">
        <f t="shared" si="16"/>
        <v>-1.7405614503042832</v>
      </c>
    </row>
    <row r="96" spans="1:21">
      <c r="A96">
        <f t="shared" si="17"/>
        <v>95</v>
      </c>
      <c r="B96" s="2">
        <f t="shared" si="18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36">
        <v>4.2</v>
      </c>
      <c r="H96" s="5">
        <v>12</v>
      </c>
      <c r="I96" s="41" t="s">
        <v>10</v>
      </c>
      <c r="J96" s="45" t="s">
        <v>15</v>
      </c>
      <c r="K96">
        <v>210</v>
      </c>
      <c r="L96">
        <f t="shared" si="14"/>
        <v>3</v>
      </c>
      <c r="M96">
        <v>54.022115727964547</v>
      </c>
      <c r="N96">
        <v>55.33885603918457</v>
      </c>
      <c r="O96">
        <f t="shared" si="11"/>
        <v>0</v>
      </c>
      <c r="P96">
        <f t="shared" si="12"/>
        <v>1</v>
      </c>
      <c r="Q96">
        <f t="shared" si="13"/>
        <v>1.355</v>
      </c>
      <c r="R96">
        <v>1</v>
      </c>
      <c r="S96">
        <f t="shared" si="15"/>
        <v>1.8953817557930801</v>
      </c>
      <c r="T96">
        <v>-1.2361218874671027</v>
      </c>
      <c r="U96">
        <f t="shared" si="16"/>
        <v>-3.1315036432601828</v>
      </c>
    </row>
    <row r="97" spans="1:21">
      <c r="A97">
        <f t="shared" si="17"/>
        <v>96</v>
      </c>
      <c r="B97" s="2">
        <f t="shared" si="18"/>
        <v>49</v>
      </c>
      <c r="C97" s="25">
        <v>43357</v>
      </c>
      <c r="D97" s="26">
        <v>0.16467592593107838</v>
      </c>
      <c r="E97" s="27">
        <v>-8.16</v>
      </c>
      <c r="F97" s="27">
        <v>116.37</v>
      </c>
      <c r="G97" s="36">
        <v>4.2</v>
      </c>
      <c r="H97" s="27">
        <v>12</v>
      </c>
      <c r="I97" s="2" t="s">
        <v>10</v>
      </c>
      <c r="J97" s="45" t="s">
        <v>16</v>
      </c>
      <c r="K97">
        <v>770</v>
      </c>
      <c r="L97">
        <f t="shared" si="14"/>
        <v>1</v>
      </c>
      <c r="M97">
        <v>68.094097247178624</v>
      </c>
      <c r="N97">
        <v>69.143373362226257</v>
      </c>
      <c r="O97">
        <f t="shared" si="11"/>
        <v>0</v>
      </c>
      <c r="P97">
        <f t="shared" si="12"/>
        <v>1</v>
      </c>
      <c r="Q97">
        <f t="shared" si="13"/>
        <v>1.111</v>
      </c>
      <c r="R97">
        <v>1</v>
      </c>
      <c r="S97">
        <f t="shared" si="15"/>
        <v>1.3526536938531448</v>
      </c>
      <c r="T97">
        <v>-1.2055562643964941</v>
      </c>
      <c r="U97">
        <f t="shared" si="16"/>
        <v>-2.5582099582496389</v>
      </c>
    </row>
    <row r="98" spans="1:21">
      <c r="A98">
        <f t="shared" si="17"/>
        <v>97</v>
      </c>
      <c r="B98" s="2">
        <f t="shared" si="18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36">
        <v>4.2</v>
      </c>
      <c r="H98" s="5">
        <v>10</v>
      </c>
      <c r="I98" s="41" t="s">
        <v>10</v>
      </c>
      <c r="J98" s="45" t="s">
        <v>19</v>
      </c>
      <c r="K98">
        <v>283</v>
      </c>
      <c r="L98">
        <f t="shared" si="14"/>
        <v>3</v>
      </c>
      <c r="M98">
        <v>149.41083072966944</v>
      </c>
      <c r="N98">
        <v>149.74510455881332</v>
      </c>
      <c r="O98">
        <f t="shared" ref="O98:O129" si="19">IF(H98&lt;15,0,1)</f>
        <v>0</v>
      </c>
      <c r="P98">
        <f t="shared" ref="P98:P129" si="20">IF(I98="reverse",1,0)</f>
        <v>1</v>
      </c>
      <c r="Q98">
        <f t="shared" ref="Q98:Q129" si="21">IF(L98=1,$W$8,IF(L98=2,$W$9,$W$10))</f>
        <v>1.355</v>
      </c>
      <c r="R98">
        <v>1</v>
      </c>
      <c r="S98">
        <f t="shared" si="15"/>
        <v>0.37328148514630499</v>
      </c>
      <c r="T98">
        <v>-2.5167085268306333</v>
      </c>
      <c r="U98">
        <f t="shared" si="16"/>
        <v>-2.8899900119769382</v>
      </c>
    </row>
    <row r="99" spans="1:21">
      <c r="A99">
        <f t="shared" si="17"/>
        <v>98</v>
      </c>
      <c r="B99" s="2">
        <f t="shared" si="18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36">
        <v>3.5</v>
      </c>
      <c r="H99" s="5">
        <v>16</v>
      </c>
      <c r="I99" s="41" t="s">
        <v>10</v>
      </c>
      <c r="J99" s="45" t="s">
        <v>15</v>
      </c>
      <c r="K99">
        <v>210</v>
      </c>
      <c r="L99">
        <f t="shared" si="14"/>
        <v>3</v>
      </c>
      <c r="M99">
        <v>27.234821366102938</v>
      </c>
      <c r="N99">
        <v>31.586951338227262</v>
      </c>
      <c r="O99">
        <f t="shared" si="19"/>
        <v>1</v>
      </c>
      <c r="P99">
        <f t="shared" si="20"/>
        <v>1</v>
      </c>
      <c r="Q99">
        <f t="shared" si="21"/>
        <v>1.355</v>
      </c>
      <c r="R99">
        <v>1</v>
      </c>
      <c r="S99">
        <f t="shared" si="15"/>
        <v>1.8351250876515892</v>
      </c>
      <c r="T99">
        <v>-0.31188425232828931</v>
      </c>
      <c r="U99">
        <f t="shared" si="16"/>
        <v>-2.1470093399798786</v>
      </c>
    </row>
    <row r="100" spans="1:21">
      <c r="A100">
        <f t="shared" si="17"/>
        <v>99</v>
      </c>
      <c r="B100" s="2">
        <f t="shared" si="18"/>
        <v>51</v>
      </c>
      <c r="C100" s="25">
        <v>43364</v>
      </c>
      <c r="D100" s="26">
        <v>0.28790509259852115</v>
      </c>
      <c r="E100" s="27">
        <v>-8.32</v>
      </c>
      <c r="F100" s="27">
        <v>116.12</v>
      </c>
      <c r="G100" s="36">
        <v>3.5</v>
      </c>
      <c r="H100" s="27">
        <v>16</v>
      </c>
      <c r="I100" s="2" t="s">
        <v>10</v>
      </c>
      <c r="J100" s="45" t="s">
        <v>16</v>
      </c>
      <c r="K100">
        <v>770</v>
      </c>
      <c r="L100">
        <f t="shared" si="14"/>
        <v>1</v>
      </c>
      <c r="M100">
        <v>52.611970116012088</v>
      </c>
      <c r="N100">
        <v>54.991084727327838</v>
      </c>
      <c r="O100">
        <f t="shared" si="19"/>
        <v>1</v>
      </c>
      <c r="P100">
        <f t="shared" si="20"/>
        <v>1</v>
      </c>
      <c r="Q100">
        <f t="shared" si="21"/>
        <v>1.111</v>
      </c>
      <c r="R100">
        <v>1</v>
      </c>
      <c r="S100">
        <f t="shared" si="15"/>
        <v>0.90792646576103864</v>
      </c>
      <c r="T100">
        <v>-1.1829222768689933</v>
      </c>
      <c r="U100">
        <f t="shared" si="16"/>
        <v>-2.090848742630032</v>
      </c>
    </row>
    <row r="101" spans="1:21">
      <c r="A101">
        <f t="shared" si="17"/>
        <v>100</v>
      </c>
      <c r="B101" s="2">
        <f t="shared" si="18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36">
        <v>4</v>
      </c>
      <c r="H101" s="5">
        <v>13</v>
      </c>
      <c r="I101" s="41" t="s">
        <v>10</v>
      </c>
      <c r="J101" s="45" t="s">
        <v>19</v>
      </c>
      <c r="K101">
        <v>283</v>
      </c>
      <c r="L101">
        <f t="shared" si="14"/>
        <v>3</v>
      </c>
      <c r="M101">
        <v>76.556929365864917</v>
      </c>
      <c r="N101">
        <v>77.652839187823844</v>
      </c>
      <c r="O101">
        <f t="shared" si="19"/>
        <v>0</v>
      </c>
      <c r="P101">
        <f t="shared" si="20"/>
        <v>1</v>
      </c>
      <c r="Q101">
        <f t="shared" si="21"/>
        <v>1.355</v>
      </c>
      <c r="R101">
        <v>0</v>
      </c>
      <c r="S101">
        <f t="shared" si="15"/>
        <v>1.2144785395634159</v>
      </c>
      <c r="T101">
        <v>-2.1565950205309137</v>
      </c>
      <c r="U101">
        <f t="shared" si="16"/>
        <v>-3.3710735600943296</v>
      </c>
    </row>
    <row r="102" spans="1:21">
      <c r="A102">
        <f t="shared" si="17"/>
        <v>101</v>
      </c>
      <c r="B102" s="2">
        <f t="shared" si="18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36">
        <v>3.7</v>
      </c>
      <c r="H102" s="5">
        <v>11</v>
      </c>
      <c r="I102" s="41" t="s">
        <v>10</v>
      </c>
      <c r="J102" s="45" t="s">
        <v>13</v>
      </c>
      <c r="K102">
        <v>386</v>
      </c>
      <c r="L102">
        <f t="shared" si="14"/>
        <v>2</v>
      </c>
      <c r="M102">
        <v>202.99354263663312</v>
      </c>
      <c r="N102">
        <v>203.29136320112224</v>
      </c>
      <c r="O102">
        <f t="shared" si="19"/>
        <v>0</v>
      </c>
      <c r="P102">
        <f t="shared" si="20"/>
        <v>1</v>
      </c>
      <c r="Q102">
        <f t="shared" si="21"/>
        <v>1.3440000000000001</v>
      </c>
      <c r="R102">
        <v>0</v>
      </c>
      <c r="S102">
        <f t="shared" si="15"/>
        <v>-0.79397368728757711</v>
      </c>
      <c r="T102">
        <v>-1.3294341498683668</v>
      </c>
      <c r="U102">
        <f t="shared" si="16"/>
        <v>-0.53546046258078972</v>
      </c>
    </row>
    <row r="103" spans="1:21">
      <c r="A103">
        <f t="shared" si="17"/>
        <v>102</v>
      </c>
      <c r="B103" s="2">
        <f t="shared" si="18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36">
        <v>4.9000000000000004</v>
      </c>
      <c r="H103" s="5">
        <v>10</v>
      </c>
      <c r="I103" s="41" t="s">
        <v>10</v>
      </c>
      <c r="J103" s="45" t="s">
        <v>15</v>
      </c>
      <c r="K103">
        <v>210</v>
      </c>
      <c r="L103">
        <f t="shared" si="14"/>
        <v>3</v>
      </c>
      <c r="M103">
        <v>74.843048563414939</v>
      </c>
      <c r="N103">
        <v>75.508157958366894</v>
      </c>
      <c r="O103">
        <f t="shared" si="19"/>
        <v>0</v>
      </c>
      <c r="P103">
        <f t="shared" si="20"/>
        <v>1</v>
      </c>
      <c r="Q103">
        <f t="shared" si="21"/>
        <v>1.355</v>
      </c>
      <c r="R103">
        <v>1</v>
      </c>
      <c r="S103">
        <f t="shared" si="15"/>
        <v>2.2364208451470704</v>
      </c>
      <c r="T103">
        <v>-0.34070102144651493</v>
      </c>
      <c r="U103">
        <f t="shared" si="16"/>
        <v>-2.5771218665935853</v>
      </c>
    </row>
    <row r="104" spans="1:21">
      <c r="A104">
        <f t="shared" si="17"/>
        <v>103</v>
      </c>
      <c r="B104" s="2">
        <f t="shared" si="18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36">
        <v>4.9000000000000004</v>
      </c>
      <c r="H104" s="5">
        <v>10</v>
      </c>
      <c r="I104" s="41" t="s">
        <v>10</v>
      </c>
      <c r="J104" s="45" t="s">
        <v>19</v>
      </c>
      <c r="K104">
        <v>283</v>
      </c>
      <c r="L104">
        <f t="shared" si="14"/>
        <v>3</v>
      </c>
      <c r="M104">
        <v>72.833909625461303</v>
      </c>
      <c r="N104">
        <v>73.517197928987102</v>
      </c>
      <c r="O104">
        <f t="shared" si="19"/>
        <v>0</v>
      </c>
      <c r="P104">
        <f t="shared" si="20"/>
        <v>1</v>
      </c>
      <c r="Q104">
        <f t="shared" si="21"/>
        <v>1.355</v>
      </c>
      <c r="R104">
        <v>0</v>
      </c>
      <c r="S104">
        <f t="shared" si="15"/>
        <v>2.2739848286062854</v>
      </c>
      <c r="T104">
        <v>8.7512506328448467E-2</v>
      </c>
      <c r="U104">
        <f t="shared" si="16"/>
        <v>-2.1864723222778371</v>
      </c>
    </row>
    <row r="105" spans="1:21">
      <c r="A105">
        <f t="shared" si="17"/>
        <v>104</v>
      </c>
      <c r="B105" s="2">
        <f t="shared" si="18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36">
        <v>4.5</v>
      </c>
      <c r="H105" s="5">
        <v>10</v>
      </c>
      <c r="I105" s="41" t="s">
        <v>10</v>
      </c>
      <c r="J105" s="45" t="s">
        <v>14</v>
      </c>
      <c r="K105">
        <v>290</v>
      </c>
      <c r="L105">
        <f t="shared" si="14"/>
        <v>3</v>
      </c>
      <c r="M105">
        <v>169.5752754141601</v>
      </c>
      <c r="N105">
        <v>169.86987382048724</v>
      </c>
      <c r="O105">
        <f t="shared" si="19"/>
        <v>0</v>
      </c>
      <c r="P105">
        <f t="shared" si="20"/>
        <v>1</v>
      </c>
      <c r="Q105">
        <f t="shared" si="21"/>
        <v>1.355</v>
      </c>
      <c r="R105">
        <v>0</v>
      </c>
      <c r="S105">
        <f t="shared" si="15"/>
        <v>0.46323240730337345</v>
      </c>
      <c r="T105">
        <v>-1.9308898149891336</v>
      </c>
      <c r="U105">
        <f t="shared" si="16"/>
        <v>-2.3941222222925069</v>
      </c>
    </row>
    <row r="106" spans="1:21">
      <c r="A106">
        <f t="shared" si="17"/>
        <v>105</v>
      </c>
      <c r="B106" s="2">
        <f t="shared" si="18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36">
        <v>4.3</v>
      </c>
      <c r="H106" s="5">
        <v>10</v>
      </c>
      <c r="I106" s="41" t="s">
        <v>10</v>
      </c>
      <c r="J106" s="45" t="s">
        <v>14</v>
      </c>
      <c r="K106">
        <v>290</v>
      </c>
      <c r="L106">
        <f t="shared" si="14"/>
        <v>3</v>
      </c>
      <c r="M106">
        <v>191.39436649976986</v>
      </c>
      <c r="N106">
        <v>191.65542916350748</v>
      </c>
      <c r="O106">
        <f t="shared" si="19"/>
        <v>0</v>
      </c>
      <c r="P106">
        <f t="shared" si="20"/>
        <v>1</v>
      </c>
      <c r="Q106">
        <f t="shared" si="21"/>
        <v>1.355</v>
      </c>
      <c r="R106">
        <v>0</v>
      </c>
      <c r="S106">
        <f t="shared" si="15"/>
        <v>6.8534454447721771E-4</v>
      </c>
      <c r="T106">
        <v>-1.9544373443786203</v>
      </c>
      <c r="U106">
        <f t="shared" si="16"/>
        <v>-1.9551226889230975</v>
      </c>
    </row>
    <row r="107" spans="1:21">
      <c r="A107">
        <f t="shared" si="17"/>
        <v>106</v>
      </c>
      <c r="B107" s="2">
        <f t="shared" si="18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36">
        <v>4.3</v>
      </c>
      <c r="H107" s="5">
        <v>10</v>
      </c>
      <c r="I107" s="41" t="s">
        <v>10</v>
      </c>
      <c r="J107" s="45" t="s">
        <v>15</v>
      </c>
      <c r="K107">
        <v>210</v>
      </c>
      <c r="L107">
        <f t="shared" si="14"/>
        <v>3</v>
      </c>
      <c r="M107">
        <v>62.335277789976317</v>
      </c>
      <c r="N107">
        <v>63.132296466654168</v>
      </c>
      <c r="O107">
        <f t="shared" si="19"/>
        <v>0</v>
      </c>
      <c r="P107">
        <f t="shared" si="20"/>
        <v>1</v>
      </c>
      <c r="Q107">
        <f t="shared" si="21"/>
        <v>1.355</v>
      </c>
      <c r="R107">
        <v>1</v>
      </c>
      <c r="S107">
        <f t="shared" si="15"/>
        <v>1.8299853483666331</v>
      </c>
      <c r="T107">
        <v>-1.0031990334059429</v>
      </c>
      <c r="U107">
        <f t="shared" si="16"/>
        <v>-2.8331843817725759</v>
      </c>
    </row>
    <row r="108" spans="1:21">
      <c r="A108">
        <f t="shared" si="17"/>
        <v>107</v>
      </c>
      <c r="B108" s="2">
        <f t="shared" si="18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36">
        <v>4.7</v>
      </c>
      <c r="H108" s="5">
        <v>10</v>
      </c>
      <c r="I108" s="41" t="s">
        <v>10</v>
      </c>
      <c r="J108" s="45" t="s">
        <v>14</v>
      </c>
      <c r="K108">
        <v>290</v>
      </c>
      <c r="L108">
        <f t="shared" si="14"/>
        <v>3</v>
      </c>
      <c r="M108">
        <v>153.54034510521262</v>
      </c>
      <c r="N108">
        <v>153.8656478068701</v>
      </c>
      <c r="O108">
        <f t="shared" si="19"/>
        <v>0</v>
      </c>
      <c r="P108">
        <f t="shared" si="20"/>
        <v>1</v>
      </c>
      <c r="Q108">
        <f t="shared" si="21"/>
        <v>1.355</v>
      </c>
      <c r="R108">
        <v>0</v>
      </c>
      <c r="S108">
        <f t="shared" si="15"/>
        <v>0.87111025898918026</v>
      </c>
      <c r="T108">
        <v>-0.84401410454179593</v>
      </c>
      <c r="U108">
        <f t="shared" si="16"/>
        <v>-1.7151243635309763</v>
      </c>
    </row>
    <row r="109" spans="1:21">
      <c r="A109">
        <f t="shared" si="17"/>
        <v>108</v>
      </c>
      <c r="B109" s="2">
        <f t="shared" si="18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36">
        <v>3.8</v>
      </c>
      <c r="H109" s="5">
        <v>20</v>
      </c>
      <c r="I109" s="41" t="s">
        <v>10</v>
      </c>
      <c r="J109" s="45" t="s">
        <v>19</v>
      </c>
      <c r="K109">
        <v>283</v>
      </c>
      <c r="L109">
        <f t="shared" si="14"/>
        <v>3</v>
      </c>
      <c r="M109">
        <v>73.704865393879203</v>
      </c>
      <c r="N109">
        <v>76.370198262999509</v>
      </c>
      <c r="O109">
        <f t="shared" si="19"/>
        <v>1</v>
      </c>
      <c r="P109">
        <f t="shared" si="20"/>
        <v>1</v>
      </c>
      <c r="Q109">
        <f t="shared" si="21"/>
        <v>1.355</v>
      </c>
      <c r="R109">
        <v>0</v>
      </c>
      <c r="S109">
        <f t="shared" si="15"/>
        <v>1.0897260459883689</v>
      </c>
      <c r="T109">
        <v>-2.718482731899837</v>
      </c>
      <c r="U109">
        <f t="shared" si="16"/>
        <v>-3.8082087778882059</v>
      </c>
    </row>
    <row r="110" spans="1:21">
      <c r="A110">
        <f t="shared" si="17"/>
        <v>109</v>
      </c>
      <c r="B110" s="2">
        <f t="shared" si="18"/>
        <v>59</v>
      </c>
      <c r="C110" s="18">
        <v>43419</v>
      </c>
      <c r="D110" s="19">
        <v>0.82395833333333324</v>
      </c>
      <c r="E110" s="20">
        <v>-8.2100000000000009</v>
      </c>
      <c r="F110" s="20">
        <v>116.33</v>
      </c>
      <c r="G110" s="36">
        <v>3.7</v>
      </c>
      <c r="H110" s="20">
        <v>5</v>
      </c>
      <c r="I110" s="2" t="s">
        <v>10</v>
      </c>
      <c r="J110" s="45" t="s">
        <v>16</v>
      </c>
      <c r="K110">
        <v>770</v>
      </c>
      <c r="L110">
        <f t="shared" si="14"/>
        <v>1</v>
      </c>
      <c r="M110">
        <v>62.043000961657171</v>
      </c>
      <c r="N110">
        <v>62.244148064924083</v>
      </c>
      <c r="O110">
        <f t="shared" si="19"/>
        <v>0</v>
      </c>
      <c r="P110">
        <f t="shared" si="20"/>
        <v>1</v>
      </c>
      <c r="Q110">
        <f t="shared" si="21"/>
        <v>1.111</v>
      </c>
      <c r="R110">
        <v>1</v>
      </c>
      <c r="S110">
        <f t="shared" si="15"/>
        <v>0.94878486129402739</v>
      </c>
      <c r="T110">
        <v>-1.8937117229643476</v>
      </c>
      <c r="U110">
        <f t="shared" si="16"/>
        <v>-2.8424965842583751</v>
      </c>
    </row>
    <row r="111" spans="1:21">
      <c r="A111">
        <f t="shared" si="17"/>
        <v>110</v>
      </c>
      <c r="B111" s="2">
        <f t="shared" si="18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36">
        <v>3.7</v>
      </c>
      <c r="H111" s="5">
        <v>11</v>
      </c>
      <c r="I111" s="41" t="s">
        <v>10</v>
      </c>
      <c r="J111" s="45" t="s">
        <v>15</v>
      </c>
      <c r="K111">
        <v>210</v>
      </c>
      <c r="L111">
        <f t="shared" si="14"/>
        <v>3</v>
      </c>
      <c r="M111">
        <v>23.835078470597363</v>
      </c>
      <c r="N111">
        <v>26.25092313994946</v>
      </c>
      <c r="O111">
        <f t="shared" si="19"/>
        <v>0</v>
      </c>
      <c r="P111">
        <f t="shared" si="20"/>
        <v>1</v>
      </c>
      <c r="Q111">
        <f t="shared" si="21"/>
        <v>1.355</v>
      </c>
      <c r="R111">
        <v>1</v>
      </c>
      <c r="S111">
        <f t="shared" si="15"/>
        <v>2.2526145107765254</v>
      </c>
      <c r="T111">
        <v>0.68708482633504919</v>
      </c>
      <c r="U111">
        <f t="shared" si="16"/>
        <v>-1.5655296844414761</v>
      </c>
    </row>
    <row r="112" spans="1:21">
      <c r="A112">
        <f t="shared" si="17"/>
        <v>111</v>
      </c>
      <c r="B112" s="2">
        <f t="shared" si="18"/>
        <v>60</v>
      </c>
      <c r="C112" s="18">
        <v>43421</v>
      </c>
      <c r="D112" s="19">
        <v>0.52866898148148145</v>
      </c>
      <c r="E112" s="20">
        <v>-8.35</v>
      </c>
      <c r="F112" s="20">
        <v>116.09</v>
      </c>
      <c r="G112" s="36">
        <v>3.7</v>
      </c>
      <c r="H112" s="20">
        <v>11</v>
      </c>
      <c r="I112" s="2" t="s">
        <v>10</v>
      </c>
      <c r="J112" s="45" t="s">
        <v>16</v>
      </c>
      <c r="K112">
        <v>770</v>
      </c>
      <c r="L112">
        <f t="shared" si="14"/>
        <v>1</v>
      </c>
      <c r="M112">
        <v>50.769469002227638</v>
      </c>
      <c r="N112">
        <v>51.94746367983862</v>
      </c>
      <c r="O112">
        <f t="shared" si="19"/>
        <v>0</v>
      </c>
      <c r="P112">
        <f t="shared" si="20"/>
        <v>1</v>
      </c>
      <c r="Q112">
        <f t="shared" si="21"/>
        <v>1.111</v>
      </c>
      <c r="R112">
        <v>1</v>
      </c>
      <c r="S112">
        <f t="shared" si="15"/>
        <v>1.1867423540726096</v>
      </c>
      <c r="T112">
        <v>-0.29577804739475849</v>
      </c>
      <c r="U112">
        <f t="shared" si="16"/>
        <v>-1.4825204014673681</v>
      </c>
    </row>
    <row r="113" spans="1:21">
      <c r="A113">
        <f t="shared" si="17"/>
        <v>112</v>
      </c>
      <c r="B113" s="2">
        <f t="shared" si="18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36">
        <v>5.0999999999999996</v>
      </c>
      <c r="H113" s="5">
        <v>10</v>
      </c>
      <c r="I113" s="41" t="s">
        <v>10</v>
      </c>
      <c r="J113" s="45" t="s">
        <v>19</v>
      </c>
      <c r="K113">
        <v>283</v>
      </c>
      <c r="L113">
        <f t="shared" si="14"/>
        <v>3</v>
      </c>
      <c r="M113">
        <v>76.326023434540531</v>
      </c>
      <c r="N113">
        <v>76.978320671017698</v>
      </c>
      <c r="O113">
        <f t="shared" si="19"/>
        <v>0</v>
      </c>
      <c r="P113">
        <f t="shared" si="20"/>
        <v>1</v>
      </c>
      <c r="Q113">
        <f t="shared" si="21"/>
        <v>1.355</v>
      </c>
      <c r="R113">
        <v>0</v>
      </c>
      <c r="S113">
        <f t="shared" si="15"/>
        <v>2.425948587540053</v>
      </c>
      <c r="T113">
        <v>0.26158184087690289</v>
      </c>
      <c r="U113">
        <f t="shared" si="16"/>
        <v>-2.1643667466631502</v>
      </c>
    </row>
    <row r="114" spans="1:21">
      <c r="A114">
        <f t="shared" si="17"/>
        <v>113</v>
      </c>
      <c r="B114" s="2">
        <f t="shared" si="18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36">
        <v>5.0999999999999996</v>
      </c>
      <c r="H114" s="5">
        <v>10</v>
      </c>
      <c r="I114" s="41" t="s">
        <v>10</v>
      </c>
      <c r="J114" s="45" t="s">
        <v>17</v>
      </c>
      <c r="K114">
        <v>1141</v>
      </c>
      <c r="L114">
        <f t="shared" si="14"/>
        <v>1</v>
      </c>
      <c r="M114">
        <v>45.913425587818345</v>
      </c>
      <c r="N114">
        <v>46.989814313403414</v>
      </c>
      <c r="O114">
        <f t="shared" si="19"/>
        <v>0</v>
      </c>
      <c r="P114">
        <f t="shared" si="20"/>
        <v>1</v>
      </c>
      <c r="Q114">
        <f t="shared" si="21"/>
        <v>1.111</v>
      </c>
      <c r="R114">
        <v>0</v>
      </c>
      <c r="S114">
        <f t="shared" si="15"/>
        <v>2.8336850736690335</v>
      </c>
      <c r="T114">
        <v>2.6077844182124403</v>
      </c>
      <c r="U114">
        <f t="shared" si="16"/>
        <v>-0.22590065545659321</v>
      </c>
    </row>
    <row r="115" spans="1:21">
      <c r="A115" s="8">
        <f t="shared" si="17"/>
        <v>114</v>
      </c>
      <c r="B115" s="9">
        <f t="shared" si="18"/>
        <v>62</v>
      </c>
      <c r="C115" s="10">
        <v>43508</v>
      </c>
      <c r="D115" s="11">
        <v>0.71231481481481485</v>
      </c>
      <c r="E115" s="12">
        <v>-8.39</v>
      </c>
      <c r="F115" s="12">
        <v>116.84</v>
      </c>
      <c r="G115" s="37">
        <v>4.5</v>
      </c>
      <c r="H115" s="12">
        <v>10</v>
      </c>
      <c r="I115" s="42" t="s">
        <v>10</v>
      </c>
      <c r="J115" s="46" t="s">
        <v>17</v>
      </c>
      <c r="K115">
        <v>1141</v>
      </c>
      <c r="L115">
        <f t="shared" si="14"/>
        <v>1</v>
      </c>
      <c r="M115">
        <v>38.954393040170586</v>
      </c>
      <c r="N115">
        <v>40.217468059639089</v>
      </c>
      <c r="O115">
        <f t="shared" si="19"/>
        <v>0</v>
      </c>
      <c r="P115">
        <f t="shared" si="20"/>
        <v>1</v>
      </c>
      <c r="Q115">
        <f t="shared" si="21"/>
        <v>1.111</v>
      </c>
      <c r="R115">
        <v>0</v>
      </c>
      <c r="S115">
        <f t="shared" si="15"/>
        <v>2.3778810162073318</v>
      </c>
      <c r="T115">
        <v>2.0837776416804661</v>
      </c>
      <c r="U115">
        <f t="shared" si="16"/>
        <v>-0.29410337452686575</v>
      </c>
    </row>
    <row r="116" spans="1:21">
      <c r="A116" s="8">
        <f t="shared" si="17"/>
        <v>115</v>
      </c>
      <c r="B116" s="9">
        <f t="shared" si="18"/>
        <v>63</v>
      </c>
      <c r="C116" s="28">
        <v>43541</v>
      </c>
      <c r="D116" s="11">
        <v>0.58848379629629632</v>
      </c>
      <c r="E116" s="12">
        <v>-8.4700000000000006</v>
      </c>
      <c r="F116" s="12">
        <v>116.55</v>
      </c>
      <c r="G116" s="37">
        <v>5.5</v>
      </c>
      <c r="H116" s="12">
        <v>19</v>
      </c>
      <c r="I116" s="9" t="s">
        <v>11</v>
      </c>
      <c r="J116" s="46" t="s">
        <v>16</v>
      </c>
      <c r="K116">
        <v>770</v>
      </c>
      <c r="L116">
        <f t="shared" si="14"/>
        <v>1</v>
      </c>
      <c r="M116">
        <v>44.602245905875868</v>
      </c>
      <c r="N116">
        <v>48.480515053454425</v>
      </c>
      <c r="O116">
        <f t="shared" si="19"/>
        <v>1</v>
      </c>
      <c r="P116">
        <f t="shared" si="20"/>
        <v>0</v>
      </c>
      <c r="Q116">
        <f t="shared" si="21"/>
        <v>1.111</v>
      </c>
      <c r="R116">
        <v>1</v>
      </c>
      <c r="S116">
        <f t="shared" si="15"/>
        <v>3.0261882721230977</v>
      </c>
      <c r="T116">
        <v>2.0776681974865663</v>
      </c>
      <c r="U116">
        <f t="shared" si="16"/>
        <v>-0.94852007463653143</v>
      </c>
    </row>
    <row r="117" spans="1:21">
      <c r="A117" s="8">
        <f t="shared" si="17"/>
        <v>116</v>
      </c>
      <c r="B117" s="9">
        <f t="shared" si="18"/>
        <v>63</v>
      </c>
      <c r="C117" s="10">
        <v>43541</v>
      </c>
      <c r="D117" s="11">
        <v>0.58848379629629632</v>
      </c>
      <c r="E117" s="12">
        <v>-8.4700000000000006</v>
      </c>
      <c r="F117" s="12">
        <v>116.55</v>
      </c>
      <c r="G117" s="37">
        <v>5.5</v>
      </c>
      <c r="H117" s="12">
        <v>19</v>
      </c>
      <c r="I117" s="9" t="s">
        <v>11</v>
      </c>
      <c r="J117" s="46" t="s">
        <v>17</v>
      </c>
      <c r="K117">
        <v>1141</v>
      </c>
      <c r="L117">
        <f t="shared" si="14"/>
        <v>1</v>
      </c>
      <c r="M117">
        <v>47.410108769841003</v>
      </c>
      <c r="N117">
        <v>51.075614666572093</v>
      </c>
      <c r="O117">
        <f t="shared" si="19"/>
        <v>1</v>
      </c>
      <c r="P117">
        <f t="shared" si="20"/>
        <v>0</v>
      </c>
      <c r="Q117">
        <f t="shared" si="21"/>
        <v>1.111</v>
      </c>
      <c r="R117">
        <v>1</v>
      </c>
      <c r="S117">
        <f t="shared" si="15"/>
        <v>2.9615084183380835</v>
      </c>
      <c r="T117">
        <v>3.1717910908427034</v>
      </c>
      <c r="U117">
        <f t="shared" si="16"/>
        <v>0.21028267250461985</v>
      </c>
    </row>
    <row r="118" spans="1:21">
      <c r="A118" s="8">
        <f t="shared" si="17"/>
        <v>117</v>
      </c>
      <c r="B118" s="9">
        <f t="shared" si="18"/>
        <v>64</v>
      </c>
      <c r="C118" s="28">
        <v>43541</v>
      </c>
      <c r="D118" s="11">
        <v>0.58981481481481479</v>
      </c>
      <c r="E118" s="12">
        <v>-8.51</v>
      </c>
      <c r="F118" s="12">
        <v>116.49</v>
      </c>
      <c r="G118" s="37">
        <v>5.0999999999999996</v>
      </c>
      <c r="H118" s="12">
        <v>11</v>
      </c>
      <c r="I118" s="9" t="s">
        <v>11</v>
      </c>
      <c r="J118" s="46" t="s">
        <v>16</v>
      </c>
      <c r="K118">
        <v>770</v>
      </c>
      <c r="L118">
        <f t="shared" si="14"/>
        <v>1</v>
      </c>
      <c r="M118">
        <v>36.872886592294471</v>
      </c>
      <c r="N118">
        <v>38.478692358865437</v>
      </c>
      <c r="O118">
        <f t="shared" si="19"/>
        <v>0</v>
      </c>
      <c r="P118">
        <f t="shared" si="20"/>
        <v>0</v>
      </c>
      <c r="Q118">
        <f t="shared" si="21"/>
        <v>1.111</v>
      </c>
      <c r="R118">
        <v>1</v>
      </c>
      <c r="S118">
        <f t="shared" si="15"/>
        <v>2.8243265301348179</v>
      </c>
      <c r="T118">
        <v>1.6779852017573889</v>
      </c>
      <c r="U118">
        <f t="shared" si="16"/>
        <v>-1.1463413283774291</v>
      </c>
    </row>
    <row r="119" spans="1:21">
      <c r="A119">
        <f t="shared" si="17"/>
        <v>118</v>
      </c>
      <c r="B119" s="2">
        <f t="shared" si="18"/>
        <v>65</v>
      </c>
      <c r="C119" s="25">
        <v>43571</v>
      </c>
      <c r="D119" s="26">
        <v>0.55440972223004792</v>
      </c>
      <c r="E119" s="27">
        <v>-8.2200000000000006</v>
      </c>
      <c r="F119" s="27">
        <v>116.76</v>
      </c>
      <c r="G119" s="36">
        <v>4.5999999999999996</v>
      </c>
      <c r="H119" s="27">
        <v>16</v>
      </c>
      <c r="I119" s="41" t="s">
        <v>10</v>
      </c>
      <c r="J119" s="45" t="s">
        <v>13</v>
      </c>
      <c r="K119">
        <v>386</v>
      </c>
      <c r="L119">
        <f t="shared" si="14"/>
        <v>2</v>
      </c>
      <c r="M119">
        <v>217.7283448303655</v>
      </c>
      <c r="N119">
        <v>218.31544183261647</v>
      </c>
      <c r="O119">
        <f t="shared" si="19"/>
        <v>1</v>
      </c>
      <c r="P119">
        <f t="shared" si="20"/>
        <v>1</v>
      </c>
      <c r="Q119">
        <f t="shared" si="21"/>
        <v>1.3440000000000001</v>
      </c>
      <c r="R119">
        <v>0</v>
      </c>
      <c r="S119">
        <f t="shared" si="15"/>
        <v>5.2865245130851113E-2</v>
      </c>
      <c r="T119">
        <v>-1.1919680406284177</v>
      </c>
      <c r="U119">
        <f t="shared" si="16"/>
        <v>-1.2448332857592688</v>
      </c>
    </row>
    <row r="120" spans="1:21">
      <c r="A120">
        <f t="shared" si="17"/>
        <v>119</v>
      </c>
      <c r="B120" s="2">
        <f t="shared" si="18"/>
        <v>66</v>
      </c>
      <c r="C120" s="25">
        <v>43579</v>
      </c>
      <c r="D120" s="26">
        <v>0.76734953703999054</v>
      </c>
      <c r="E120" s="27">
        <v>-8.1</v>
      </c>
      <c r="F120" s="27">
        <v>117.71</v>
      </c>
      <c r="G120" s="36">
        <v>3.8</v>
      </c>
      <c r="H120" s="27">
        <v>10</v>
      </c>
      <c r="I120" s="41" t="s">
        <v>10</v>
      </c>
      <c r="J120" s="45" t="s">
        <v>13</v>
      </c>
      <c r="K120">
        <v>386</v>
      </c>
      <c r="L120">
        <f t="shared" si="14"/>
        <v>2</v>
      </c>
      <c r="M120">
        <v>119.77550230598494</v>
      </c>
      <c r="N120">
        <v>120.19222500915359</v>
      </c>
      <c r="O120">
        <f t="shared" si="19"/>
        <v>0</v>
      </c>
      <c r="P120">
        <f t="shared" si="20"/>
        <v>1</v>
      </c>
      <c r="Q120">
        <f t="shared" si="21"/>
        <v>1.3440000000000001</v>
      </c>
      <c r="R120">
        <v>1</v>
      </c>
      <c r="S120">
        <f t="shared" si="15"/>
        <v>0.30905511002174069</v>
      </c>
      <c r="T120">
        <v>-1.4172033588407336</v>
      </c>
      <c r="U120">
        <f t="shared" si="16"/>
        <v>-1.7262584688624742</v>
      </c>
    </row>
    <row r="121" spans="1:21">
      <c r="A121">
        <f t="shared" si="17"/>
        <v>120</v>
      </c>
      <c r="B121" s="2">
        <f t="shared" si="18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36">
        <v>3.8</v>
      </c>
      <c r="H121" s="5">
        <v>10</v>
      </c>
      <c r="I121" s="41" t="s">
        <v>10</v>
      </c>
      <c r="J121" s="45" t="s">
        <v>17</v>
      </c>
      <c r="K121">
        <v>1141</v>
      </c>
      <c r="L121">
        <f t="shared" si="14"/>
        <v>1</v>
      </c>
      <c r="M121">
        <v>116.1383311956387</v>
      </c>
      <c r="N121">
        <v>116.568057258015</v>
      </c>
      <c r="O121">
        <f t="shared" si="19"/>
        <v>0</v>
      </c>
      <c r="P121">
        <f t="shared" si="20"/>
        <v>1</v>
      </c>
      <c r="Q121">
        <f t="shared" si="21"/>
        <v>1.111</v>
      </c>
      <c r="R121">
        <v>0</v>
      </c>
      <c r="S121">
        <f t="shared" si="15"/>
        <v>0.12702651888733418</v>
      </c>
      <c r="T121">
        <v>-1.104864377071495</v>
      </c>
      <c r="U121">
        <f t="shared" si="16"/>
        <v>-1.2318908959588293</v>
      </c>
    </row>
    <row r="122" spans="1:21">
      <c r="A122">
        <f t="shared" si="17"/>
        <v>121</v>
      </c>
      <c r="B122" s="2">
        <f t="shared" si="18"/>
        <v>67</v>
      </c>
      <c r="C122" s="25">
        <v>43699</v>
      </c>
      <c r="D122" s="26">
        <v>0.37410879629629629</v>
      </c>
      <c r="E122" s="27">
        <v>-7.92</v>
      </c>
      <c r="F122" s="27">
        <v>117.15</v>
      </c>
      <c r="G122" s="36">
        <v>4.7</v>
      </c>
      <c r="H122" s="27">
        <v>10</v>
      </c>
      <c r="I122" s="41" t="s">
        <v>10</v>
      </c>
      <c r="J122" s="45" t="s">
        <v>13</v>
      </c>
      <c r="K122">
        <v>386</v>
      </c>
      <c r="L122">
        <f t="shared" si="14"/>
        <v>2</v>
      </c>
      <c r="M122">
        <v>184.86066146795699</v>
      </c>
      <c r="N122">
        <v>185.13093787471232</v>
      </c>
      <c r="O122">
        <f t="shared" si="19"/>
        <v>0</v>
      </c>
      <c r="P122">
        <f t="shared" si="20"/>
        <v>1</v>
      </c>
      <c r="Q122">
        <f t="shared" si="21"/>
        <v>1.3440000000000001</v>
      </c>
      <c r="R122">
        <v>1</v>
      </c>
      <c r="S122">
        <f t="shared" si="15"/>
        <v>0.49975212241567346</v>
      </c>
      <c r="T122">
        <v>-0.78269583830078038</v>
      </c>
      <c r="U122">
        <f t="shared" si="16"/>
        <v>-1.2824479607164538</v>
      </c>
    </row>
    <row r="123" spans="1:21">
      <c r="A123">
        <f t="shared" si="17"/>
        <v>122</v>
      </c>
      <c r="B123" s="2">
        <f t="shared" si="18"/>
        <v>67</v>
      </c>
      <c r="C123" s="25">
        <v>43699</v>
      </c>
      <c r="D123" s="26">
        <v>0.37410879629629629</v>
      </c>
      <c r="E123" s="27">
        <v>-7.92</v>
      </c>
      <c r="F123" s="27">
        <v>117.15</v>
      </c>
      <c r="G123" s="36">
        <v>4.7</v>
      </c>
      <c r="H123" s="27">
        <v>10</v>
      </c>
      <c r="I123" s="2" t="s">
        <v>10</v>
      </c>
      <c r="J123" s="45" t="s">
        <v>16</v>
      </c>
      <c r="K123">
        <v>770</v>
      </c>
      <c r="L123">
        <f t="shared" si="14"/>
        <v>1</v>
      </c>
      <c r="M123">
        <v>134.91677794532623</v>
      </c>
      <c r="N123">
        <v>135.28686917490725</v>
      </c>
      <c r="O123">
        <f t="shared" si="19"/>
        <v>0</v>
      </c>
      <c r="P123">
        <f t="shared" si="20"/>
        <v>1</v>
      </c>
      <c r="Q123">
        <f t="shared" si="21"/>
        <v>1.111</v>
      </c>
      <c r="R123">
        <v>1</v>
      </c>
      <c r="S123">
        <f t="shared" si="15"/>
        <v>0.85979560347191775</v>
      </c>
      <c r="T123">
        <v>-1.4038386530085132</v>
      </c>
      <c r="U123">
        <f t="shared" si="16"/>
        <v>-2.2636342564804308</v>
      </c>
    </row>
    <row r="124" spans="1:21">
      <c r="A124">
        <f t="shared" si="17"/>
        <v>123</v>
      </c>
      <c r="B124" s="2">
        <f t="shared" si="18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36">
        <v>4.7</v>
      </c>
      <c r="H124" s="5">
        <v>10</v>
      </c>
      <c r="I124" s="41" t="s">
        <v>10</v>
      </c>
      <c r="J124" s="45" t="s">
        <v>19</v>
      </c>
      <c r="K124">
        <v>283</v>
      </c>
      <c r="L124">
        <f t="shared" si="14"/>
        <v>3</v>
      </c>
      <c r="M124">
        <v>69.541234354373785</v>
      </c>
      <c r="N124">
        <v>70.25655325683104</v>
      </c>
      <c r="O124">
        <f t="shared" si="19"/>
        <v>0</v>
      </c>
      <c r="P124">
        <f t="shared" si="20"/>
        <v>1</v>
      </c>
      <c r="Q124">
        <f t="shared" si="21"/>
        <v>1.355</v>
      </c>
      <c r="R124">
        <v>0</v>
      </c>
      <c r="S124">
        <f t="shared" si="15"/>
        <v>2.1198414998771673</v>
      </c>
      <c r="T124">
        <v>-0.34268479011866376</v>
      </c>
      <c r="U124">
        <f t="shared" si="16"/>
        <v>-2.4625262899958309</v>
      </c>
    </row>
    <row r="125" spans="1:21">
      <c r="A125">
        <f t="shared" si="17"/>
        <v>124</v>
      </c>
      <c r="B125" s="2">
        <f t="shared" si="18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36">
        <v>4.7</v>
      </c>
      <c r="H125" s="5">
        <v>10</v>
      </c>
      <c r="I125" s="41" t="s">
        <v>10</v>
      </c>
      <c r="J125" s="45" t="s">
        <v>17</v>
      </c>
      <c r="K125">
        <v>1141</v>
      </c>
      <c r="L125">
        <f t="shared" si="14"/>
        <v>1</v>
      </c>
      <c r="M125">
        <v>95.643589621406889</v>
      </c>
      <c r="N125">
        <v>96.164942862085098</v>
      </c>
      <c r="O125">
        <f t="shared" si="19"/>
        <v>0</v>
      </c>
      <c r="P125">
        <f t="shared" si="20"/>
        <v>1</v>
      </c>
      <c r="Q125">
        <f t="shared" si="21"/>
        <v>1.111</v>
      </c>
      <c r="R125">
        <v>0</v>
      </c>
      <c r="S125">
        <f t="shared" si="15"/>
        <v>1.419148027701965</v>
      </c>
      <c r="T125">
        <v>1.9176627859939022</v>
      </c>
      <c r="U125">
        <f t="shared" si="16"/>
        <v>0.49851475829193714</v>
      </c>
    </row>
    <row r="126" spans="1:21">
      <c r="A126">
        <f t="shared" si="17"/>
        <v>125</v>
      </c>
      <c r="B126" s="2">
        <f t="shared" si="18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36">
        <v>4.5999999999999996</v>
      </c>
      <c r="H126" s="5">
        <v>10</v>
      </c>
      <c r="I126" s="41" t="s">
        <v>10</v>
      </c>
      <c r="J126" s="45" t="s">
        <v>14</v>
      </c>
      <c r="K126">
        <v>290</v>
      </c>
      <c r="L126">
        <f t="shared" si="14"/>
        <v>3</v>
      </c>
      <c r="M126">
        <v>96.937892582870234</v>
      </c>
      <c r="N126">
        <v>97.452321770228167</v>
      </c>
      <c r="O126">
        <f t="shared" si="19"/>
        <v>0</v>
      </c>
      <c r="P126">
        <f t="shared" si="20"/>
        <v>1</v>
      </c>
      <c r="Q126">
        <f t="shared" si="21"/>
        <v>1.355</v>
      </c>
      <c r="R126">
        <v>1</v>
      </c>
      <c r="S126">
        <f t="shared" si="15"/>
        <v>1.5335260546624641</v>
      </c>
      <c r="T126">
        <v>-5.4368779961518433E-2</v>
      </c>
      <c r="U126">
        <f t="shared" si="16"/>
        <v>-1.5878948346239825</v>
      </c>
    </row>
    <row r="127" spans="1:21">
      <c r="A127">
        <f t="shared" si="17"/>
        <v>126</v>
      </c>
      <c r="B127" s="2">
        <f t="shared" si="18"/>
        <v>68</v>
      </c>
      <c r="C127" s="29">
        <v>43720</v>
      </c>
      <c r="D127" s="30">
        <v>0.27743055555555557</v>
      </c>
      <c r="E127" s="31">
        <v>-7.89</v>
      </c>
      <c r="F127" s="31">
        <v>117.69</v>
      </c>
      <c r="G127" s="36">
        <v>4.5999999999999996</v>
      </c>
      <c r="H127" s="31">
        <v>10</v>
      </c>
      <c r="I127" s="2" t="s">
        <v>10</v>
      </c>
      <c r="J127" s="45" t="s">
        <v>16</v>
      </c>
      <c r="K127">
        <v>770</v>
      </c>
      <c r="L127">
        <f t="shared" si="14"/>
        <v>1</v>
      </c>
      <c r="M127">
        <v>184.53152886292455</v>
      </c>
      <c r="N127">
        <v>184.80228663219606</v>
      </c>
      <c r="O127">
        <f t="shared" si="19"/>
        <v>0</v>
      </c>
      <c r="P127">
        <f t="shared" si="20"/>
        <v>1</v>
      </c>
      <c r="Q127">
        <f t="shared" si="21"/>
        <v>1.111</v>
      </c>
      <c r="R127">
        <v>0</v>
      </c>
      <c r="S127">
        <f t="shared" si="15"/>
        <v>0.16075979779145821</v>
      </c>
      <c r="T127">
        <v>-2.3027395448505219</v>
      </c>
      <c r="U127">
        <f t="shared" si="16"/>
        <v>-2.4634993426419802</v>
      </c>
    </row>
    <row r="128" spans="1:21">
      <c r="A128">
        <f t="shared" si="17"/>
        <v>127</v>
      </c>
      <c r="B128" s="2">
        <f t="shared" si="18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36">
        <v>4.5999999999999996</v>
      </c>
      <c r="H128" s="5">
        <v>10</v>
      </c>
      <c r="I128" s="41" t="s">
        <v>10</v>
      </c>
      <c r="J128" s="45" t="s">
        <v>19</v>
      </c>
      <c r="K128">
        <v>283</v>
      </c>
      <c r="L128">
        <f t="shared" si="14"/>
        <v>3</v>
      </c>
      <c r="M128">
        <v>73.219283176838076</v>
      </c>
      <c r="N128">
        <v>73.899008308163403</v>
      </c>
      <c r="O128">
        <f t="shared" si="19"/>
        <v>0</v>
      </c>
      <c r="P128">
        <f t="shared" si="20"/>
        <v>1</v>
      </c>
      <c r="Q128">
        <f t="shared" si="21"/>
        <v>1.355</v>
      </c>
      <c r="R128">
        <v>0</v>
      </c>
      <c r="S128">
        <f t="shared" si="15"/>
        <v>1.9404690893772853</v>
      </c>
      <c r="T128">
        <v>-0.87009267674278645</v>
      </c>
      <c r="U128">
        <f t="shared" si="16"/>
        <v>-2.8105617661200717</v>
      </c>
    </row>
    <row r="129" spans="1:21">
      <c r="A129">
        <f t="shared" si="17"/>
        <v>128</v>
      </c>
      <c r="B129" s="2">
        <f t="shared" si="18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36">
        <v>4.5999999999999996</v>
      </c>
      <c r="H129" s="5">
        <v>10</v>
      </c>
      <c r="I129" s="41" t="s">
        <v>10</v>
      </c>
      <c r="J129" s="45" t="s">
        <v>17</v>
      </c>
      <c r="K129">
        <v>1141</v>
      </c>
      <c r="L129">
        <f t="shared" si="14"/>
        <v>1</v>
      </c>
      <c r="M129">
        <v>130.14062651273792</v>
      </c>
      <c r="N129">
        <v>130.52426084497833</v>
      </c>
      <c r="O129">
        <f t="shared" si="19"/>
        <v>0</v>
      </c>
      <c r="P129">
        <f t="shared" si="20"/>
        <v>1</v>
      </c>
      <c r="Q129">
        <f t="shared" si="21"/>
        <v>1.111</v>
      </c>
      <c r="R129">
        <v>0</v>
      </c>
      <c r="S129">
        <f t="shared" si="15"/>
        <v>0.81284547681722852</v>
      </c>
      <c r="T129">
        <v>0.12692833751404153</v>
      </c>
      <c r="U129">
        <f t="shared" si="16"/>
        <v>-0.68591713930318698</v>
      </c>
    </row>
    <row r="130" spans="1:21">
      <c r="A130">
        <f t="shared" si="17"/>
        <v>129</v>
      </c>
      <c r="B130" s="2">
        <f t="shared" si="18"/>
        <v>69</v>
      </c>
      <c r="C130" s="25">
        <v>43836</v>
      </c>
      <c r="D130" s="26">
        <v>0.81380787037037028</v>
      </c>
      <c r="E130" s="27">
        <v>-8.17</v>
      </c>
      <c r="F130" s="27">
        <v>118.52</v>
      </c>
      <c r="G130" s="36">
        <v>4.4000000000000004</v>
      </c>
      <c r="H130" s="27">
        <v>14</v>
      </c>
      <c r="I130" s="41" t="s">
        <v>10</v>
      </c>
      <c r="J130" s="45" t="s">
        <v>13</v>
      </c>
      <c r="K130">
        <v>386</v>
      </c>
      <c r="L130">
        <f t="shared" si="14"/>
        <v>2</v>
      </c>
      <c r="M130">
        <v>45.650378932391213</v>
      </c>
      <c r="N130">
        <v>47.748896287463104</v>
      </c>
      <c r="O130">
        <f t="shared" ref="O130:O158" si="22">IF(H130&lt;15,0,1)</f>
        <v>0</v>
      </c>
      <c r="P130">
        <f t="shared" ref="P130:P158" si="23">IF(I130="reverse",1,0)</f>
        <v>1</v>
      </c>
      <c r="Q130">
        <f t="shared" ref="Q130:Q158" si="24">IF(L130=1,$W$8,IF(L130=2,$W$9,$W$10))</f>
        <v>1.3440000000000001</v>
      </c>
      <c r="R130">
        <v>0</v>
      </c>
      <c r="S130">
        <f t="shared" si="15"/>
        <v>2.290888136578547</v>
      </c>
      <c r="T130">
        <v>-0.34539648342670703</v>
      </c>
      <c r="U130">
        <f t="shared" si="16"/>
        <v>-2.6362846200052541</v>
      </c>
    </row>
    <row r="131" spans="1:21">
      <c r="A131">
        <f t="shared" si="17"/>
        <v>130</v>
      </c>
      <c r="B131" s="2">
        <f t="shared" si="18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36">
        <v>4.4000000000000004</v>
      </c>
      <c r="H131" s="5">
        <v>14</v>
      </c>
      <c r="I131" s="41" t="s">
        <v>10</v>
      </c>
      <c r="J131" s="45" t="s">
        <v>14</v>
      </c>
      <c r="K131">
        <v>290</v>
      </c>
      <c r="L131">
        <f t="shared" ref="L131:L158" si="25">IF(K131&gt;600,1,IF(AND(K131&lt;=600,K131&gt;300),2,3))</f>
        <v>3</v>
      </c>
      <c r="M131">
        <v>43.516837554768216</v>
      </c>
      <c r="N131">
        <v>45.713402310133134</v>
      </c>
      <c r="O131">
        <f t="shared" si="22"/>
        <v>0</v>
      </c>
      <c r="P131">
        <f t="shared" si="23"/>
        <v>1</v>
      </c>
      <c r="Q131">
        <f t="shared" si="24"/>
        <v>1.355</v>
      </c>
      <c r="R131">
        <v>0</v>
      </c>
      <c r="S131">
        <f t="shared" ref="S131:S158" si="26">$W$2*G131+$W$3*N131-LN(N131+($W$4*EXP($W$5*G131)))+$W$6*(H131-15)*O131+$W$7*P131+Q131</f>
        <v>2.3563467355111136</v>
      </c>
      <c r="T131">
        <v>1.5288994194908796</v>
      </c>
      <c r="U131">
        <f t="shared" ref="U131:U158" si="27">T131-S131</f>
        <v>-0.82744731602023402</v>
      </c>
    </row>
    <row r="132" spans="1:21">
      <c r="A132">
        <f t="shared" ref="A132:A158" si="28">A131+1</f>
        <v>131</v>
      </c>
      <c r="B132" s="2">
        <f t="shared" si="18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36">
        <v>4.4000000000000004</v>
      </c>
      <c r="H132" s="5">
        <v>14</v>
      </c>
      <c r="I132" s="41" t="s">
        <v>10</v>
      </c>
      <c r="J132" s="45" t="s">
        <v>19</v>
      </c>
      <c r="K132">
        <v>283</v>
      </c>
      <c r="L132">
        <f t="shared" si="25"/>
        <v>3</v>
      </c>
      <c r="M132">
        <v>127.96159236009052</v>
      </c>
      <c r="N132">
        <v>128.72516894271291</v>
      </c>
      <c r="O132">
        <f t="shared" si="22"/>
        <v>0</v>
      </c>
      <c r="P132">
        <f t="shared" si="23"/>
        <v>1</v>
      </c>
      <c r="Q132">
        <f t="shared" si="24"/>
        <v>1.355</v>
      </c>
      <c r="R132">
        <v>1</v>
      </c>
      <c r="S132">
        <f t="shared" si="26"/>
        <v>0.86177417149641145</v>
      </c>
      <c r="T132">
        <v>-1.8104345569247056</v>
      </c>
      <c r="U132">
        <f t="shared" si="27"/>
        <v>-2.6722087284211171</v>
      </c>
    </row>
    <row r="133" spans="1:21">
      <c r="A133" s="8">
        <f t="shared" si="28"/>
        <v>132</v>
      </c>
      <c r="B133" s="9">
        <f t="shared" si="18"/>
        <v>69</v>
      </c>
      <c r="C133" s="10">
        <v>43836</v>
      </c>
      <c r="D133" s="11">
        <v>0.81380787037037028</v>
      </c>
      <c r="E133" s="12">
        <v>-8.17</v>
      </c>
      <c r="F133" s="12">
        <v>118.52</v>
      </c>
      <c r="G133" s="37">
        <v>4.4000000000000004</v>
      </c>
      <c r="H133" s="12">
        <v>14</v>
      </c>
      <c r="I133" s="42" t="s">
        <v>10</v>
      </c>
      <c r="J133" s="46" t="s">
        <v>17</v>
      </c>
      <c r="K133">
        <v>1141</v>
      </c>
      <c r="L133">
        <f t="shared" si="25"/>
        <v>1</v>
      </c>
      <c r="M133">
        <v>192.61618215084559</v>
      </c>
      <c r="N133">
        <v>193.12429579513741</v>
      </c>
      <c r="O133">
        <f t="shared" si="22"/>
        <v>0</v>
      </c>
      <c r="P133">
        <f t="shared" si="23"/>
        <v>1</v>
      </c>
      <c r="Q133">
        <f t="shared" si="24"/>
        <v>1.111</v>
      </c>
      <c r="R133">
        <v>0</v>
      </c>
      <c r="S133">
        <f t="shared" si="26"/>
        <v>-0.14944792480694802</v>
      </c>
      <c r="T133">
        <v>-1.8744737766834472</v>
      </c>
      <c r="U133">
        <f t="shared" si="27"/>
        <v>-1.7250258518764991</v>
      </c>
    </row>
    <row r="134" spans="1:21">
      <c r="A134">
        <f t="shared" si="28"/>
        <v>133</v>
      </c>
      <c r="B134" s="2">
        <f t="shared" si="18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36">
        <v>4.4000000000000004</v>
      </c>
      <c r="H134" s="5">
        <v>26</v>
      </c>
      <c r="I134" s="41" t="s">
        <v>10</v>
      </c>
      <c r="J134" s="45" t="s">
        <v>14</v>
      </c>
      <c r="K134">
        <v>290</v>
      </c>
      <c r="L134">
        <f t="shared" si="25"/>
        <v>3</v>
      </c>
      <c r="M134">
        <v>93.582452874927512</v>
      </c>
      <c r="N134">
        <v>97.127109944072913</v>
      </c>
      <c r="O134">
        <f t="shared" si="22"/>
        <v>1</v>
      </c>
      <c r="P134">
        <f t="shared" si="23"/>
        <v>1</v>
      </c>
      <c r="Q134">
        <f t="shared" si="24"/>
        <v>1.355</v>
      </c>
      <c r="R134">
        <v>0</v>
      </c>
      <c r="S134">
        <f t="shared" si="26"/>
        <v>1.4753657047114266</v>
      </c>
      <c r="T134">
        <v>0.3263957974849071</v>
      </c>
      <c r="U134">
        <f t="shared" si="27"/>
        <v>-1.1489699072265194</v>
      </c>
    </row>
    <row r="135" spans="1:21">
      <c r="A135" s="8">
        <f t="shared" si="28"/>
        <v>134</v>
      </c>
      <c r="B135" s="9">
        <f t="shared" ref="B135:B158" si="29">IF(D135=D134,B134,B134+1)</f>
        <v>70</v>
      </c>
      <c r="C135" s="10">
        <v>43879</v>
      </c>
      <c r="D135" s="11">
        <v>0.60881944444444447</v>
      </c>
      <c r="E135" s="12">
        <v>-7.83</v>
      </c>
      <c r="F135" s="12">
        <v>118.82</v>
      </c>
      <c r="G135" s="37">
        <v>4.4000000000000004</v>
      </c>
      <c r="H135" s="12">
        <v>26</v>
      </c>
      <c r="I135" s="42" t="s">
        <v>10</v>
      </c>
      <c r="J135" s="46" t="s">
        <v>17</v>
      </c>
      <c r="K135">
        <v>1141</v>
      </c>
      <c r="L135">
        <f t="shared" si="25"/>
        <v>1</v>
      </c>
      <c r="M135">
        <v>237.77709132514747</v>
      </c>
      <c r="N135">
        <v>239.19436690492424</v>
      </c>
      <c r="O135">
        <f t="shared" si="22"/>
        <v>1</v>
      </c>
      <c r="P135">
        <f t="shared" si="23"/>
        <v>1</v>
      </c>
      <c r="Q135">
        <f t="shared" si="24"/>
        <v>1.111</v>
      </c>
      <c r="R135">
        <v>1</v>
      </c>
      <c r="S135">
        <f t="shared" si="26"/>
        <v>-0.46727221055160828</v>
      </c>
      <c r="T135">
        <v>-2.6305730363327551</v>
      </c>
      <c r="U135">
        <f t="shared" si="27"/>
        <v>-2.163300825781147</v>
      </c>
    </row>
    <row r="136" spans="1:21">
      <c r="A136">
        <f t="shared" si="28"/>
        <v>135</v>
      </c>
      <c r="B136" s="2">
        <f t="shared" si="29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36">
        <v>3.6</v>
      </c>
      <c r="H136" s="5">
        <v>10</v>
      </c>
      <c r="I136" s="41" t="s">
        <v>10</v>
      </c>
      <c r="J136" s="45" t="s">
        <v>14</v>
      </c>
      <c r="K136">
        <v>290</v>
      </c>
      <c r="L136">
        <f t="shared" si="25"/>
        <v>3</v>
      </c>
      <c r="M136">
        <v>191.64887216059438</v>
      </c>
      <c r="N136">
        <v>191.90958860991768</v>
      </c>
      <c r="O136">
        <f t="shared" si="22"/>
        <v>0</v>
      </c>
      <c r="P136">
        <f t="shared" si="23"/>
        <v>1</v>
      </c>
      <c r="Q136">
        <f t="shared" si="24"/>
        <v>1.355</v>
      </c>
      <c r="R136">
        <v>0</v>
      </c>
      <c r="S136">
        <f t="shared" si="26"/>
        <v>-0.77119242307802383</v>
      </c>
      <c r="T136">
        <v>-2.9956462829917916</v>
      </c>
      <c r="U136">
        <f t="shared" si="27"/>
        <v>-2.2244538599137678</v>
      </c>
    </row>
    <row r="137" spans="1:21">
      <c r="A137">
        <f t="shared" si="28"/>
        <v>136</v>
      </c>
      <c r="B137" s="2">
        <f t="shared" si="29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36">
        <v>3.6</v>
      </c>
      <c r="H137" s="5">
        <v>10</v>
      </c>
      <c r="I137" s="41" t="s">
        <v>10</v>
      </c>
      <c r="J137" s="45" t="s">
        <v>17</v>
      </c>
      <c r="K137">
        <v>1141</v>
      </c>
      <c r="L137">
        <f t="shared" si="25"/>
        <v>1</v>
      </c>
      <c r="M137">
        <v>49.632687466105466</v>
      </c>
      <c r="N137">
        <v>50.63006680923997</v>
      </c>
      <c r="O137">
        <f t="shared" si="22"/>
        <v>0</v>
      </c>
      <c r="P137">
        <f t="shared" si="23"/>
        <v>1</v>
      </c>
      <c r="Q137">
        <f t="shared" si="24"/>
        <v>1.111</v>
      </c>
      <c r="R137">
        <v>1</v>
      </c>
      <c r="S137">
        <f t="shared" si="26"/>
        <v>1.1102121994023246</v>
      </c>
      <c r="T137">
        <v>0.88603441062810084</v>
      </c>
      <c r="U137">
        <f t="shared" si="27"/>
        <v>-0.22417778877422379</v>
      </c>
    </row>
    <row r="138" spans="1:21">
      <c r="A138">
        <f t="shared" si="28"/>
        <v>137</v>
      </c>
      <c r="B138" s="2">
        <f t="shared" si="29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36">
        <v>3.8</v>
      </c>
      <c r="H138" s="5">
        <v>12</v>
      </c>
      <c r="I138" s="41" t="s">
        <v>10</v>
      </c>
      <c r="J138" s="45" t="s">
        <v>14</v>
      </c>
      <c r="K138">
        <v>290</v>
      </c>
      <c r="L138">
        <f t="shared" si="25"/>
        <v>3</v>
      </c>
      <c r="M138">
        <v>231.58708017250825</v>
      </c>
      <c r="N138">
        <v>231.89776993931565</v>
      </c>
      <c r="O138">
        <f t="shared" si="22"/>
        <v>0</v>
      </c>
      <c r="P138">
        <f t="shared" si="23"/>
        <v>1</v>
      </c>
      <c r="Q138">
        <f t="shared" si="24"/>
        <v>1.355</v>
      </c>
      <c r="R138">
        <v>1</v>
      </c>
      <c r="S138">
        <f t="shared" si="26"/>
        <v>-0.96583586640099917</v>
      </c>
      <c r="T138">
        <v>-3.2074999904299184</v>
      </c>
      <c r="U138">
        <f t="shared" si="27"/>
        <v>-2.2416641240289192</v>
      </c>
    </row>
    <row r="139" spans="1:21">
      <c r="A139">
        <f t="shared" si="28"/>
        <v>138</v>
      </c>
      <c r="B139" s="2">
        <f t="shared" si="29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36">
        <v>3.8</v>
      </c>
      <c r="H139" s="5">
        <v>12</v>
      </c>
      <c r="I139" s="41" t="s">
        <v>10</v>
      </c>
      <c r="J139" s="45" t="s">
        <v>15</v>
      </c>
      <c r="K139">
        <v>210</v>
      </c>
      <c r="L139">
        <f t="shared" si="25"/>
        <v>3</v>
      </c>
      <c r="M139">
        <v>23.286409728284827</v>
      </c>
      <c r="N139">
        <v>26.196505072882495</v>
      </c>
      <c r="O139">
        <f t="shared" si="22"/>
        <v>0</v>
      </c>
      <c r="P139">
        <f t="shared" si="23"/>
        <v>1</v>
      </c>
      <c r="Q139">
        <f t="shared" si="24"/>
        <v>1.355</v>
      </c>
      <c r="R139">
        <v>0</v>
      </c>
      <c r="S139">
        <f t="shared" si="26"/>
        <v>2.3637865949584387</v>
      </c>
      <c r="T139">
        <v>-1.4082566610077252</v>
      </c>
      <c r="U139">
        <f t="shared" si="27"/>
        <v>-3.7720432559661639</v>
      </c>
    </row>
    <row r="140" spans="1:21">
      <c r="A140">
        <f t="shared" si="28"/>
        <v>139</v>
      </c>
      <c r="B140" s="2">
        <f t="shared" si="29"/>
        <v>72</v>
      </c>
      <c r="C140" s="24">
        <v>43892</v>
      </c>
      <c r="D140" s="4">
        <v>0.968287037037037</v>
      </c>
      <c r="E140" s="5">
        <v>-8.4</v>
      </c>
      <c r="F140" s="5">
        <v>116.23</v>
      </c>
      <c r="G140" s="36">
        <v>3.8</v>
      </c>
      <c r="H140" s="5">
        <v>12</v>
      </c>
      <c r="I140" s="2" t="s">
        <v>10</v>
      </c>
      <c r="J140" s="45" t="s">
        <v>16</v>
      </c>
      <c r="K140">
        <v>770</v>
      </c>
      <c r="L140">
        <f t="shared" si="25"/>
        <v>1</v>
      </c>
      <c r="M140">
        <v>41.034935023077367</v>
      </c>
      <c r="N140">
        <v>42.753548301260111</v>
      </c>
      <c r="O140">
        <f t="shared" si="22"/>
        <v>0</v>
      </c>
      <c r="P140">
        <f t="shared" si="23"/>
        <v>1</v>
      </c>
      <c r="Q140">
        <f t="shared" si="24"/>
        <v>1.111</v>
      </c>
      <c r="R140">
        <v>0</v>
      </c>
      <c r="S140">
        <f t="shared" si="26"/>
        <v>1.5414544616825125</v>
      </c>
      <c r="T140">
        <v>-0.91505822028926875</v>
      </c>
      <c r="U140">
        <f t="shared" si="27"/>
        <v>-2.4565126819717813</v>
      </c>
    </row>
    <row r="141" spans="1:21">
      <c r="A141">
        <f t="shared" si="28"/>
        <v>140</v>
      </c>
      <c r="B141" s="2">
        <f t="shared" si="29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36">
        <v>3.8</v>
      </c>
      <c r="H141" s="5">
        <v>12</v>
      </c>
      <c r="I141" s="41" t="s">
        <v>10</v>
      </c>
      <c r="J141" s="45" t="s">
        <v>19</v>
      </c>
      <c r="K141">
        <v>283</v>
      </c>
      <c r="L141">
        <f t="shared" si="25"/>
        <v>3</v>
      </c>
      <c r="M141">
        <v>131.79443249974477</v>
      </c>
      <c r="N141">
        <v>132.33961023793964</v>
      </c>
      <c r="O141">
        <f t="shared" si="22"/>
        <v>0</v>
      </c>
      <c r="P141">
        <f t="shared" si="23"/>
        <v>1</v>
      </c>
      <c r="Q141">
        <f t="shared" si="24"/>
        <v>1.355</v>
      </c>
      <c r="R141">
        <v>1</v>
      </c>
      <c r="S141">
        <f t="shared" si="26"/>
        <v>0.15551856137352349</v>
      </c>
      <c r="T141">
        <v>-3.2266640127900712</v>
      </c>
      <c r="U141">
        <f t="shared" si="27"/>
        <v>-3.3821825741635947</v>
      </c>
    </row>
    <row r="142" spans="1:21">
      <c r="A142">
        <f t="shared" si="28"/>
        <v>141</v>
      </c>
      <c r="B142" s="2">
        <f t="shared" si="29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36">
        <v>3.8</v>
      </c>
      <c r="H142" s="5">
        <v>12</v>
      </c>
      <c r="I142" s="41" t="s">
        <v>10</v>
      </c>
      <c r="J142" s="45" t="s">
        <v>17</v>
      </c>
      <c r="K142">
        <v>1141</v>
      </c>
      <c r="L142">
        <f t="shared" si="25"/>
        <v>1</v>
      </c>
      <c r="M142">
        <v>81.597304805416869</v>
      </c>
      <c r="N142">
        <v>82.474966817259812</v>
      </c>
      <c r="O142">
        <f t="shared" si="22"/>
        <v>0</v>
      </c>
      <c r="P142">
        <f t="shared" si="23"/>
        <v>1</v>
      </c>
      <c r="Q142">
        <f t="shared" si="24"/>
        <v>1.111</v>
      </c>
      <c r="R142">
        <v>1</v>
      </c>
      <c r="S142">
        <f t="shared" si="26"/>
        <v>0.66411447671371915</v>
      </c>
      <c r="T142">
        <v>-0.98618818694213684</v>
      </c>
      <c r="U142">
        <f t="shared" si="27"/>
        <v>-1.650302663655856</v>
      </c>
    </row>
    <row r="143" spans="1:21">
      <c r="A143">
        <f t="shared" si="28"/>
        <v>142</v>
      </c>
      <c r="B143" s="2">
        <f t="shared" si="29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36">
        <v>4.2</v>
      </c>
      <c r="H143" s="5">
        <v>16</v>
      </c>
      <c r="I143" s="41" t="s">
        <v>10</v>
      </c>
      <c r="J143" s="45" t="s">
        <v>14</v>
      </c>
      <c r="K143">
        <v>290</v>
      </c>
      <c r="L143">
        <f t="shared" si="25"/>
        <v>3</v>
      </c>
      <c r="M143">
        <v>236.87368372963641</v>
      </c>
      <c r="N143">
        <v>237.41344116045286</v>
      </c>
      <c r="O143">
        <f t="shared" si="22"/>
        <v>1</v>
      </c>
      <c r="P143">
        <f t="shared" si="23"/>
        <v>1</v>
      </c>
      <c r="Q143">
        <f t="shared" si="24"/>
        <v>1.355</v>
      </c>
      <c r="R143">
        <v>1</v>
      </c>
      <c r="S143">
        <f t="shared" si="26"/>
        <v>-0.56665438175516636</v>
      </c>
      <c r="T143">
        <v>-1.731736899905171</v>
      </c>
      <c r="U143">
        <f t="shared" si="27"/>
        <v>-1.1650825181500046</v>
      </c>
    </row>
    <row r="144" spans="1:21">
      <c r="A144">
        <f t="shared" si="28"/>
        <v>143</v>
      </c>
      <c r="B144" s="2">
        <f t="shared" si="29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36">
        <v>4.2</v>
      </c>
      <c r="H144" s="5">
        <v>16</v>
      </c>
      <c r="I144" s="41" t="s">
        <v>10</v>
      </c>
      <c r="J144" s="45" t="s">
        <v>19</v>
      </c>
      <c r="K144">
        <v>283</v>
      </c>
      <c r="L144">
        <f t="shared" si="25"/>
        <v>3</v>
      </c>
      <c r="M144">
        <v>138.25826990140519</v>
      </c>
      <c r="N144">
        <v>139.18099437829076</v>
      </c>
      <c r="O144">
        <f t="shared" si="22"/>
        <v>1</v>
      </c>
      <c r="P144">
        <f t="shared" si="23"/>
        <v>1</v>
      </c>
      <c r="Q144">
        <f t="shared" si="24"/>
        <v>1.355</v>
      </c>
      <c r="R144">
        <v>1</v>
      </c>
      <c r="S144">
        <f t="shared" si="26"/>
        <v>0.51988318113884169</v>
      </c>
      <c r="T144">
        <v>-1.4962823917248969</v>
      </c>
      <c r="U144">
        <f t="shared" si="27"/>
        <v>-2.0161655728637387</v>
      </c>
    </row>
    <row r="145" spans="1:21">
      <c r="A145">
        <f t="shared" si="28"/>
        <v>144</v>
      </c>
      <c r="B145" s="2">
        <f t="shared" si="29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36">
        <v>4.8</v>
      </c>
      <c r="H145" s="5">
        <v>10</v>
      </c>
      <c r="I145" s="41" t="s">
        <v>10</v>
      </c>
      <c r="J145" s="45" t="s">
        <v>14</v>
      </c>
      <c r="K145">
        <v>290</v>
      </c>
      <c r="L145">
        <f t="shared" si="25"/>
        <v>3</v>
      </c>
      <c r="M145">
        <v>160.37359502632646</v>
      </c>
      <c r="N145">
        <v>160.68506458805734</v>
      </c>
      <c r="O145">
        <f t="shared" si="22"/>
        <v>0</v>
      </c>
      <c r="P145">
        <f t="shared" si="23"/>
        <v>1</v>
      </c>
      <c r="Q145">
        <f t="shared" si="24"/>
        <v>1.355</v>
      </c>
      <c r="R145">
        <v>0</v>
      </c>
      <c r="S145">
        <f t="shared" si="26"/>
        <v>0.89900229181520086</v>
      </c>
      <c r="T145">
        <v>-0.31368016734336002</v>
      </c>
      <c r="U145">
        <f t="shared" si="27"/>
        <v>-1.212682459158561</v>
      </c>
    </row>
    <row r="146" spans="1:21">
      <c r="A146">
        <f t="shared" si="28"/>
        <v>145</v>
      </c>
      <c r="B146" s="2">
        <f t="shared" si="29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36">
        <v>3.5</v>
      </c>
      <c r="H146" s="5">
        <v>10</v>
      </c>
      <c r="I146" s="41" t="s">
        <v>10</v>
      </c>
      <c r="J146" s="45" t="s">
        <v>14</v>
      </c>
      <c r="K146">
        <v>290</v>
      </c>
      <c r="L146">
        <f t="shared" si="25"/>
        <v>3</v>
      </c>
      <c r="M146">
        <v>92.159817959932795</v>
      </c>
      <c r="N146">
        <v>92.700766158689063</v>
      </c>
      <c r="O146">
        <f t="shared" si="22"/>
        <v>0</v>
      </c>
      <c r="P146">
        <f t="shared" si="23"/>
        <v>1</v>
      </c>
      <c r="Q146">
        <f t="shared" si="24"/>
        <v>1.355</v>
      </c>
      <c r="R146">
        <v>0</v>
      </c>
      <c r="S146">
        <f t="shared" si="26"/>
        <v>0.40469467881827026</v>
      </c>
      <c r="T146">
        <v>-1.1741630844420268</v>
      </c>
      <c r="U146">
        <f t="shared" si="27"/>
        <v>-1.5788577632602969</v>
      </c>
    </row>
    <row r="147" spans="1:21">
      <c r="A147">
        <f t="shared" si="28"/>
        <v>146</v>
      </c>
      <c r="B147" s="2">
        <f t="shared" si="29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36">
        <v>3.5</v>
      </c>
      <c r="H147" s="5">
        <v>10</v>
      </c>
      <c r="I147" s="41" t="s">
        <v>10</v>
      </c>
      <c r="J147" s="45" t="s">
        <v>17</v>
      </c>
      <c r="K147">
        <v>1141</v>
      </c>
      <c r="L147">
        <f t="shared" si="25"/>
        <v>1</v>
      </c>
      <c r="M147">
        <v>85.711155793911104</v>
      </c>
      <c r="N147">
        <v>86.292538655019882</v>
      </c>
      <c r="O147">
        <f t="shared" si="22"/>
        <v>0</v>
      </c>
      <c r="P147">
        <f t="shared" si="23"/>
        <v>1</v>
      </c>
      <c r="Q147">
        <f t="shared" si="24"/>
        <v>1.111</v>
      </c>
      <c r="R147">
        <v>0</v>
      </c>
      <c r="S147">
        <f t="shared" si="26"/>
        <v>0.26827814910180059</v>
      </c>
      <c r="T147">
        <v>-1.3295440279041897</v>
      </c>
      <c r="U147">
        <f t="shared" si="27"/>
        <v>-1.5978221770059902</v>
      </c>
    </row>
    <row r="148" spans="1:21">
      <c r="A148">
        <f t="shared" si="28"/>
        <v>147</v>
      </c>
      <c r="B148" s="2">
        <f t="shared" si="29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36">
        <v>4.2</v>
      </c>
      <c r="H148" s="5">
        <v>10</v>
      </c>
      <c r="I148" s="41" t="s">
        <v>10</v>
      </c>
      <c r="J148" s="45" t="s">
        <v>14</v>
      </c>
      <c r="K148">
        <v>290</v>
      </c>
      <c r="L148">
        <f t="shared" si="25"/>
        <v>3</v>
      </c>
      <c r="M148">
        <v>190.05302625038044</v>
      </c>
      <c r="N148">
        <v>190.31592888386353</v>
      </c>
      <c r="O148">
        <f t="shared" si="22"/>
        <v>0</v>
      </c>
      <c r="P148">
        <f t="shared" si="23"/>
        <v>1</v>
      </c>
      <c r="Q148">
        <f t="shared" si="24"/>
        <v>1.355</v>
      </c>
      <c r="R148">
        <v>0</v>
      </c>
      <c r="S148">
        <f t="shared" si="26"/>
        <v>-9.4560475141779676E-2</v>
      </c>
      <c r="T148">
        <v>-2.4898458271525516</v>
      </c>
      <c r="U148">
        <f t="shared" si="27"/>
        <v>-2.395285352010772</v>
      </c>
    </row>
    <row r="149" spans="1:21">
      <c r="A149">
        <f t="shared" si="28"/>
        <v>148</v>
      </c>
      <c r="B149" s="2">
        <f t="shared" si="29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36">
        <v>4.2</v>
      </c>
      <c r="H149" s="5">
        <v>10</v>
      </c>
      <c r="I149" s="41" t="s">
        <v>10</v>
      </c>
      <c r="J149" s="45" t="s">
        <v>17</v>
      </c>
      <c r="K149">
        <v>1141</v>
      </c>
      <c r="L149">
        <f t="shared" si="25"/>
        <v>1</v>
      </c>
      <c r="M149">
        <v>61.54635269622478</v>
      </c>
      <c r="N149">
        <v>62.353456441548573</v>
      </c>
      <c r="O149">
        <f t="shared" si="22"/>
        <v>0</v>
      </c>
      <c r="P149">
        <f t="shared" si="23"/>
        <v>1</v>
      </c>
      <c r="Q149">
        <f t="shared" si="24"/>
        <v>1.111</v>
      </c>
      <c r="R149">
        <v>0</v>
      </c>
      <c r="S149">
        <f t="shared" si="26"/>
        <v>1.4935099136161654</v>
      </c>
      <c r="T149">
        <v>2.4524109174967044</v>
      </c>
      <c r="U149">
        <f t="shared" si="27"/>
        <v>0.958901003880539</v>
      </c>
    </row>
    <row r="150" spans="1:21">
      <c r="A150">
        <f t="shared" si="28"/>
        <v>149</v>
      </c>
      <c r="B150" s="2">
        <f t="shared" si="29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36">
        <v>3.9</v>
      </c>
      <c r="H150" s="5">
        <v>10</v>
      </c>
      <c r="I150" s="41" t="s">
        <v>10</v>
      </c>
      <c r="J150" s="45" t="s">
        <v>14</v>
      </c>
      <c r="K150">
        <v>290</v>
      </c>
      <c r="L150">
        <f t="shared" si="25"/>
        <v>3</v>
      </c>
      <c r="M150">
        <v>107.68058281077444</v>
      </c>
      <c r="N150">
        <v>108.14392222620766</v>
      </c>
      <c r="O150">
        <f t="shared" si="22"/>
        <v>0</v>
      </c>
      <c r="P150">
        <f t="shared" si="23"/>
        <v>1</v>
      </c>
      <c r="Q150">
        <f t="shared" si="24"/>
        <v>1.355</v>
      </c>
      <c r="R150">
        <v>0</v>
      </c>
      <c r="S150">
        <f t="shared" si="26"/>
        <v>0.60307871576122729</v>
      </c>
      <c r="T150">
        <v>-1.4460854745125735</v>
      </c>
      <c r="U150">
        <f t="shared" si="27"/>
        <v>-2.0491641902738009</v>
      </c>
    </row>
    <row r="151" spans="1:21">
      <c r="A151" s="8">
        <f t="shared" si="28"/>
        <v>150</v>
      </c>
      <c r="B151" s="9">
        <f t="shared" si="29"/>
        <v>78</v>
      </c>
      <c r="C151" s="10">
        <v>44176</v>
      </c>
      <c r="D151" s="11">
        <v>0.53548611111182254</v>
      </c>
      <c r="E151" s="12">
        <v>-8.27</v>
      </c>
      <c r="F151" s="12">
        <v>116.53</v>
      </c>
      <c r="G151" s="37">
        <v>3.9</v>
      </c>
      <c r="H151" s="12">
        <v>11</v>
      </c>
      <c r="I151" s="42" t="s">
        <v>10</v>
      </c>
      <c r="J151" s="46" t="s">
        <v>14</v>
      </c>
      <c r="K151">
        <v>290</v>
      </c>
      <c r="L151">
        <f t="shared" si="25"/>
        <v>3</v>
      </c>
      <c r="M151">
        <v>199.64956279833908</v>
      </c>
      <c r="N151">
        <v>199.95236414098218</v>
      </c>
      <c r="O151">
        <f t="shared" si="22"/>
        <v>0</v>
      </c>
      <c r="P151">
        <f t="shared" si="23"/>
        <v>1</v>
      </c>
      <c r="Q151">
        <f t="shared" si="24"/>
        <v>1.355</v>
      </c>
      <c r="R151">
        <v>0</v>
      </c>
      <c r="S151">
        <f t="shared" si="26"/>
        <v>-0.5277652268862143</v>
      </c>
      <c r="T151">
        <v>-3.109627701866871</v>
      </c>
      <c r="U151">
        <f t="shared" si="27"/>
        <v>-2.5818624749806567</v>
      </c>
    </row>
    <row r="152" spans="1:21">
      <c r="A152">
        <f t="shared" si="28"/>
        <v>151</v>
      </c>
      <c r="B152" s="2">
        <f t="shared" si="29"/>
        <v>79</v>
      </c>
      <c r="C152" s="25">
        <v>44274</v>
      </c>
      <c r="D152" s="26">
        <v>0.68978009259444661</v>
      </c>
      <c r="E152" s="27">
        <v>-7.83</v>
      </c>
      <c r="F152" s="27">
        <v>118.78</v>
      </c>
      <c r="G152" s="36">
        <v>4.5</v>
      </c>
      <c r="H152" s="27">
        <v>26</v>
      </c>
      <c r="I152" s="41" t="s">
        <v>10</v>
      </c>
      <c r="J152" s="45" t="s">
        <v>13</v>
      </c>
      <c r="K152">
        <v>386</v>
      </c>
      <c r="L152">
        <f t="shared" si="25"/>
        <v>2</v>
      </c>
      <c r="M152">
        <v>79.768739281944931</v>
      </c>
      <c r="N152">
        <v>83.899057006803744</v>
      </c>
      <c r="O152">
        <f t="shared" si="22"/>
        <v>1</v>
      </c>
      <c r="P152">
        <f t="shared" si="23"/>
        <v>1</v>
      </c>
      <c r="Q152">
        <f t="shared" si="24"/>
        <v>1.3440000000000001</v>
      </c>
      <c r="R152">
        <v>0</v>
      </c>
      <c r="S152">
        <f t="shared" si="26"/>
        <v>1.7935923370692117</v>
      </c>
      <c r="T152">
        <v>0.18607594824540599</v>
      </c>
      <c r="U152">
        <f t="shared" si="27"/>
        <v>-1.6075163888238058</v>
      </c>
    </row>
    <row r="153" spans="1:21">
      <c r="A153">
        <f t="shared" si="28"/>
        <v>152</v>
      </c>
      <c r="B153" s="2">
        <f t="shared" si="29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36">
        <v>4.5</v>
      </c>
      <c r="H153" s="5">
        <v>26</v>
      </c>
      <c r="I153" s="41" t="s">
        <v>10</v>
      </c>
      <c r="J153" s="45" t="s">
        <v>19</v>
      </c>
      <c r="K153">
        <v>283</v>
      </c>
      <c r="L153">
        <f t="shared" si="25"/>
        <v>3</v>
      </c>
      <c r="M153">
        <v>168.55202854350387</v>
      </c>
      <c r="N153">
        <v>170.54555498789802</v>
      </c>
      <c r="O153">
        <f t="shared" si="22"/>
        <v>1</v>
      </c>
      <c r="P153">
        <f t="shared" si="23"/>
        <v>1</v>
      </c>
      <c r="Q153">
        <f t="shared" si="24"/>
        <v>1.355</v>
      </c>
      <c r="R153">
        <v>1</v>
      </c>
      <c r="S153">
        <f t="shared" si="26"/>
        <v>0.61078829771335208</v>
      </c>
      <c r="T153">
        <v>-1.2301073394258049</v>
      </c>
      <c r="U153">
        <f t="shared" si="27"/>
        <v>-1.8408956371391569</v>
      </c>
    </row>
    <row r="154" spans="1:21">
      <c r="A154" s="8">
        <f t="shared" si="28"/>
        <v>153</v>
      </c>
      <c r="B154" s="9">
        <f t="shared" si="29"/>
        <v>79</v>
      </c>
      <c r="C154" s="10">
        <v>44274</v>
      </c>
      <c r="D154" s="11">
        <v>0.68978009259444661</v>
      </c>
      <c r="E154" s="12">
        <v>-7.83</v>
      </c>
      <c r="F154" s="12">
        <v>118.78</v>
      </c>
      <c r="G154" s="37">
        <v>4.5</v>
      </c>
      <c r="H154" s="12">
        <v>26</v>
      </c>
      <c r="I154" s="42" t="s">
        <v>10</v>
      </c>
      <c r="J154" s="46" t="s">
        <v>17</v>
      </c>
      <c r="K154">
        <v>1141</v>
      </c>
      <c r="L154">
        <f t="shared" si="25"/>
        <v>1</v>
      </c>
      <c r="M154">
        <v>233.7605677111687</v>
      </c>
      <c r="N154">
        <v>235.20204722035879</v>
      </c>
      <c r="O154">
        <f t="shared" si="22"/>
        <v>1</v>
      </c>
      <c r="P154">
        <f t="shared" si="23"/>
        <v>1</v>
      </c>
      <c r="Q154">
        <f t="shared" si="24"/>
        <v>1.111</v>
      </c>
      <c r="R154">
        <v>1</v>
      </c>
      <c r="S154">
        <f t="shared" si="26"/>
        <v>-0.31817704542314096</v>
      </c>
      <c r="T154">
        <v>-1.6194778051747407</v>
      </c>
      <c r="U154">
        <f t="shared" si="27"/>
        <v>-1.3013007597515998</v>
      </c>
    </row>
    <row r="155" spans="1:21">
      <c r="A155">
        <f t="shared" si="28"/>
        <v>154</v>
      </c>
      <c r="B155" s="2">
        <f t="shared" si="29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36">
        <v>3.5</v>
      </c>
      <c r="H155" s="5">
        <v>10</v>
      </c>
      <c r="I155" s="41" t="s">
        <v>10</v>
      </c>
      <c r="J155" s="45" t="s">
        <v>14</v>
      </c>
      <c r="K155">
        <v>290</v>
      </c>
      <c r="L155">
        <f t="shared" si="25"/>
        <v>3</v>
      </c>
      <c r="M155">
        <v>103.32560484404641</v>
      </c>
      <c r="N155">
        <v>103.80838413340238</v>
      </c>
      <c r="O155">
        <f t="shared" si="22"/>
        <v>0</v>
      </c>
      <c r="P155">
        <f t="shared" si="23"/>
        <v>1</v>
      </c>
      <c r="Q155">
        <f t="shared" si="24"/>
        <v>1.355</v>
      </c>
      <c r="R155">
        <v>0</v>
      </c>
      <c r="S155">
        <f t="shared" si="26"/>
        <v>0.22915519273777907</v>
      </c>
      <c r="T155">
        <v>-1.0010474335154653</v>
      </c>
      <c r="U155">
        <f t="shared" si="27"/>
        <v>-1.2302026262532444</v>
      </c>
    </row>
    <row r="156" spans="1:21">
      <c r="A156" s="13">
        <f t="shared" si="28"/>
        <v>155</v>
      </c>
      <c r="B156" s="14">
        <f t="shared" si="29"/>
        <v>81</v>
      </c>
      <c r="C156" s="32">
        <v>43331</v>
      </c>
      <c r="D156" s="33">
        <v>0.62263425925925919</v>
      </c>
      <c r="E156" s="34">
        <v>-8.27</v>
      </c>
      <c r="F156" s="35">
        <v>116.67</v>
      </c>
      <c r="G156" s="40">
        <v>6.9</v>
      </c>
      <c r="H156" s="39">
        <v>22</v>
      </c>
      <c r="I156" s="44" t="s">
        <v>10</v>
      </c>
      <c r="J156" s="47" t="s">
        <v>17</v>
      </c>
      <c r="K156">
        <v>1141</v>
      </c>
      <c r="L156">
        <f t="shared" si="25"/>
        <v>1</v>
      </c>
      <c r="M156">
        <v>57.090874097075393</v>
      </c>
      <c r="N156">
        <v>61.183068778609936</v>
      </c>
      <c r="O156">
        <f t="shared" si="22"/>
        <v>1</v>
      </c>
      <c r="P156">
        <f t="shared" si="23"/>
        <v>1</v>
      </c>
      <c r="Q156">
        <f t="shared" si="24"/>
        <v>1.111</v>
      </c>
      <c r="R156">
        <v>0</v>
      </c>
      <c r="S156">
        <f t="shared" si="26"/>
        <v>4.4547701103788206</v>
      </c>
      <c r="T156">
        <v>5.6063438494073337</v>
      </c>
      <c r="U156">
        <f t="shared" si="27"/>
        <v>1.151573739028513</v>
      </c>
    </row>
    <row r="157" spans="1:21">
      <c r="A157" s="13">
        <f t="shared" si="28"/>
        <v>156</v>
      </c>
      <c r="B157" s="14">
        <f t="shared" si="29"/>
        <v>81</v>
      </c>
      <c r="C157" s="32">
        <v>43331</v>
      </c>
      <c r="D157" s="33">
        <v>0.62263425925925919</v>
      </c>
      <c r="E157" s="34">
        <v>-8.27</v>
      </c>
      <c r="F157" s="35">
        <v>116.67</v>
      </c>
      <c r="G157" s="40">
        <v>6.9</v>
      </c>
      <c r="H157" s="39">
        <v>22</v>
      </c>
      <c r="I157" s="44" t="s">
        <v>10</v>
      </c>
      <c r="J157" s="47" t="s">
        <v>16</v>
      </c>
      <c r="K157">
        <v>770</v>
      </c>
      <c r="L157">
        <f t="shared" si="25"/>
        <v>1</v>
      </c>
      <c r="M157">
        <v>70.184466740784501</v>
      </c>
      <c r="N157">
        <v>73.551746217804279</v>
      </c>
      <c r="O157">
        <f t="shared" si="22"/>
        <v>1</v>
      </c>
      <c r="P157">
        <f t="shared" si="23"/>
        <v>1</v>
      </c>
      <c r="Q157">
        <f t="shared" si="24"/>
        <v>1.111</v>
      </c>
      <c r="R157">
        <v>1</v>
      </c>
      <c r="S157">
        <f t="shared" si="26"/>
        <v>4.2237069947684063</v>
      </c>
      <c r="T157">
        <v>2.397488082245836</v>
      </c>
      <c r="U157">
        <f t="shared" si="27"/>
        <v>-1.8262189125225703</v>
      </c>
    </row>
    <row r="158" spans="1:21">
      <c r="A158" s="13">
        <f t="shared" si="28"/>
        <v>157</v>
      </c>
      <c r="B158" s="14">
        <f t="shared" si="29"/>
        <v>81</v>
      </c>
      <c r="C158" s="32">
        <v>43331</v>
      </c>
      <c r="D158" s="33">
        <v>0.62263425925925919</v>
      </c>
      <c r="E158" s="34">
        <v>-8.27</v>
      </c>
      <c r="F158" s="35">
        <v>116.67</v>
      </c>
      <c r="G158" s="40">
        <v>6.9</v>
      </c>
      <c r="H158" s="39">
        <v>22</v>
      </c>
      <c r="I158" s="44" t="s">
        <v>10</v>
      </c>
      <c r="J158" s="47" t="s">
        <v>19</v>
      </c>
      <c r="K158">
        <v>283</v>
      </c>
      <c r="L158">
        <f t="shared" si="25"/>
        <v>3</v>
      </c>
      <c r="M158">
        <v>86.027062307915102</v>
      </c>
      <c r="N158">
        <v>88.795582375081622</v>
      </c>
      <c r="O158">
        <f t="shared" si="22"/>
        <v>1</v>
      </c>
      <c r="P158">
        <f t="shared" si="23"/>
        <v>1</v>
      </c>
      <c r="Q158">
        <f t="shared" si="24"/>
        <v>1.355</v>
      </c>
      <c r="R158">
        <v>0</v>
      </c>
      <c r="S158">
        <f t="shared" si="26"/>
        <v>4.2131757895799238</v>
      </c>
      <c r="T158">
        <v>3.3935372695164605</v>
      </c>
      <c r="U158">
        <f t="shared" si="27"/>
        <v>-0.81963852006346327</v>
      </c>
    </row>
    <row r="160" spans="1:21">
      <c r="U160" s="5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F3D0-F9F0-1147-B232-F0A835C5D456}">
  <dimension ref="A1:Z160"/>
  <sheetViews>
    <sheetView topLeftCell="J1" workbookViewId="0">
      <selection activeCell="S7" sqref="S7"/>
    </sheetView>
  </sheetViews>
  <sheetFormatPr baseColWidth="10" defaultColWidth="11" defaultRowHeight="16"/>
  <cols>
    <col min="18" max="18" width="10.33203125" customWidth="1"/>
    <col min="21" max="21" width="11.6640625" bestFit="1" customWidth="1"/>
  </cols>
  <sheetData>
    <row r="1" spans="1:23" ht="28">
      <c r="A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22</v>
      </c>
      <c r="I1" s="1" t="s">
        <v>8</v>
      </c>
      <c r="J1" s="1" t="s">
        <v>12</v>
      </c>
      <c r="K1" s="1" t="s">
        <v>20</v>
      </c>
      <c r="L1" s="1" t="s">
        <v>35</v>
      </c>
      <c r="M1" s="1" t="s">
        <v>21</v>
      </c>
      <c r="N1" s="1" t="s">
        <v>23</v>
      </c>
      <c r="O1" s="48" t="s">
        <v>39</v>
      </c>
      <c r="P1" s="48" t="s">
        <v>40</v>
      </c>
      <c r="Q1" s="48" t="s">
        <v>34</v>
      </c>
      <c r="R1" s="52" t="s">
        <v>38</v>
      </c>
      <c r="S1" s="48" t="s">
        <v>36</v>
      </c>
      <c r="T1" s="48" t="s">
        <v>37</v>
      </c>
      <c r="U1" s="48" t="s">
        <v>44</v>
      </c>
      <c r="V1" s="49" t="s">
        <v>25</v>
      </c>
    </row>
    <row r="2" spans="1:23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36">
        <v>5.5</v>
      </c>
      <c r="H2" s="5">
        <v>22</v>
      </c>
      <c r="I2" s="41" t="s">
        <v>9</v>
      </c>
      <c r="J2" s="45" t="s">
        <v>13</v>
      </c>
      <c r="K2">
        <v>386</v>
      </c>
      <c r="L2">
        <f>IF(K2&gt;600,1,IF(AND(K2&lt;=600,K2&gt;300),2,3))</f>
        <v>2</v>
      </c>
      <c r="M2">
        <v>97.42375977291556</v>
      </c>
      <c r="N2">
        <v>99.87686903528143</v>
      </c>
      <c r="O2">
        <f t="shared" ref="O2:O33" si="0">IF(H2&lt;15,0,1)</f>
        <v>1</v>
      </c>
      <c r="P2">
        <f t="shared" ref="P2:P33" si="1">IF(I2="reverse",1,0)</f>
        <v>0</v>
      </c>
      <c r="Q2">
        <f t="shared" ref="Q2:Q33" si="2">IF(L2=1,$W$8,IF(L2=2,$W$9,$W$10))</f>
        <v>1.6830000000000001</v>
      </c>
      <c r="R2">
        <v>1</v>
      </c>
      <c r="S2">
        <f>$W$2*G2+$W$3*N2-LN(N2+($W$4*EXP($W$5*G2)))+$W$6*(H2-15)*O2+$W$7*P2+Q2</f>
        <v>2.1050828839428961</v>
      </c>
      <c r="T2">
        <v>3.3844915526596218</v>
      </c>
      <c r="U2">
        <f>T2-S2</f>
        <v>1.2794086687167256</v>
      </c>
      <c r="V2" s="53" t="s">
        <v>26</v>
      </c>
      <c r="W2">
        <v>0.83719008808637696</v>
      </c>
    </row>
    <row r="3" spans="1:23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36">
        <v>5.5</v>
      </c>
      <c r="H3" s="5">
        <v>22</v>
      </c>
      <c r="I3" s="41" t="s">
        <v>9</v>
      </c>
      <c r="J3" s="45" t="s">
        <v>14</v>
      </c>
      <c r="K3">
        <v>290</v>
      </c>
      <c r="L3">
        <f t="shared" ref="L3:L66" si="3">IF(K3&gt;600,1,IF(AND(K3&lt;=600,K3&gt;300),2,3))</f>
        <v>3</v>
      </c>
      <c r="M3">
        <v>57.079414195557547</v>
      </c>
      <c r="N3">
        <v>61.172375504863439</v>
      </c>
      <c r="O3">
        <f t="shared" si="0"/>
        <v>1</v>
      </c>
      <c r="P3">
        <f t="shared" si="1"/>
        <v>0</v>
      </c>
      <c r="Q3">
        <f t="shared" si="2"/>
        <v>1.8080000000000001</v>
      </c>
      <c r="R3">
        <v>1</v>
      </c>
      <c r="S3">
        <f t="shared" ref="S3:S66" si="4">$W$2*G3+$W$3*N3-LN(N3+($W$4*EXP($W$5*G3)))+$W$6*(H3-15)*O3+$W$7*P3+Q3</f>
        <v>2.9217148049682891</v>
      </c>
      <c r="T3">
        <v>2.6481839870749453</v>
      </c>
      <c r="U3">
        <f t="shared" ref="U3:U66" si="5">T3-S3</f>
        <v>-0.27353081789334377</v>
      </c>
      <c r="V3" s="53" t="s">
        <v>27</v>
      </c>
      <c r="W3">
        <v>-9.9389207776647394E-4</v>
      </c>
    </row>
    <row r="4" spans="1:23">
      <c r="A4">
        <f t="shared" ref="A4:A67" si="6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36">
        <v>5.5</v>
      </c>
      <c r="H4" s="5">
        <v>22</v>
      </c>
      <c r="I4" s="41" t="s">
        <v>9</v>
      </c>
      <c r="J4" s="45" t="s">
        <v>15</v>
      </c>
      <c r="K4">
        <v>210</v>
      </c>
      <c r="L4">
        <f t="shared" si="3"/>
        <v>3</v>
      </c>
      <c r="M4">
        <v>199.93485105406191</v>
      </c>
      <c r="N4">
        <v>201.14160351854093</v>
      </c>
      <c r="O4">
        <f t="shared" si="0"/>
        <v>1</v>
      </c>
      <c r="P4">
        <f t="shared" si="1"/>
        <v>0</v>
      </c>
      <c r="Q4">
        <f t="shared" si="2"/>
        <v>1.8080000000000001</v>
      </c>
      <c r="R4">
        <v>1</v>
      </c>
      <c r="S4">
        <f t="shared" si="4"/>
        <v>1.3163696585879416</v>
      </c>
      <c r="T4">
        <v>1.0913444647941719</v>
      </c>
      <c r="U4">
        <f t="shared" si="5"/>
        <v>-0.22502519379376973</v>
      </c>
      <c r="V4" s="53" t="s">
        <v>28</v>
      </c>
      <c r="W4">
        <v>-0.331706800253812</v>
      </c>
    </row>
    <row r="5" spans="1:23">
      <c r="A5">
        <f t="shared" si="6"/>
        <v>4</v>
      </c>
      <c r="B5" s="2">
        <v>1</v>
      </c>
      <c r="C5" s="6">
        <v>42582</v>
      </c>
      <c r="D5" s="7">
        <v>0.98613425925925924</v>
      </c>
      <c r="E5" s="5">
        <v>-8.24</v>
      </c>
      <c r="F5" s="5">
        <v>117.87</v>
      </c>
      <c r="G5" s="36">
        <v>5.5</v>
      </c>
      <c r="H5" s="5">
        <v>22</v>
      </c>
      <c r="I5" s="2" t="s">
        <v>9</v>
      </c>
      <c r="J5" s="45" t="s">
        <v>16</v>
      </c>
      <c r="K5">
        <v>770</v>
      </c>
      <c r="L5">
        <f t="shared" si="3"/>
        <v>1</v>
      </c>
      <c r="M5">
        <v>186.18385881689272</v>
      </c>
      <c r="N5">
        <v>187.47914359722429</v>
      </c>
      <c r="O5">
        <f t="shared" si="0"/>
        <v>1</v>
      </c>
      <c r="P5">
        <f t="shared" si="1"/>
        <v>0</v>
      </c>
      <c r="Q5">
        <f t="shared" si="2"/>
        <v>1.1719999999999999</v>
      </c>
      <c r="R5">
        <v>0</v>
      </c>
      <c r="S5">
        <f t="shared" si="4"/>
        <v>0.7719994815107436</v>
      </c>
      <c r="T5">
        <v>0.77203081601770751</v>
      </c>
      <c r="U5">
        <f t="shared" si="5"/>
        <v>3.133450696390927E-5</v>
      </c>
      <c r="V5" s="53" t="s">
        <v>30</v>
      </c>
      <c r="W5">
        <v>0.73766423714965901</v>
      </c>
    </row>
    <row r="6" spans="1:23">
      <c r="A6">
        <f t="shared" si="6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36">
        <v>5.5</v>
      </c>
      <c r="H6" s="5">
        <v>22</v>
      </c>
      <c r="I6" s="41" t="s">
        <v>9</v>
      </c>
      <c r="J6" s="45" t="s">
        <v>17</v>
      </c>
      <c r="K6">
        <v>1141</v>
      </c>
      <c r="L6">
        <f t="shared" si="3"/>
        <v>1</v>
      </c>
      <c r="M6">
        <v>122.92739866371562</v>
      </c>
      <c r="N6">
        <v>124.88052427111312</v>
      </c>
      <c r="O6">
        <f t="shared" si="0"/>
        <v>1</v>
      </c>
      <c r="P6">
        <f t="shared" si="1"/>
        <v>0</v>
      </c>
      <c r="Q6">
        <f t="shared" si="2"/>
        <v>1.1719999999999999</v>
      </c>
      <c r="R6">
        <v>0</v>
      </c>
      <c r="S6">
        <f t="shared" si="4"/>
        <v>1.2993341615787408</v>
      </c>
      <c r="T6">
        <v>1.6042108899928957</v>
      </c>
      <c r="U6">
        <f t="shared" si="5"/>
        <v>0.30487672841415492</v>
      </c>
      <c r="V6" s="53" t="s">
        <v>29</v>
      </c>
      <c r="W6">
        <v>4.3936564907837997E-2</v>
      </c>
    </row>
    <row r="7" spans="1:23">
      <c r="A7">
        <f t="shared" si="6"/>
        <v>6</v>
      </c>
      <c r="B7" s="2">
        <f t="shared" ref="B7:B70" si="7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36">
        <v>4.4000000000000004</v>
      </c>
      <c r="H7" s="5">
        <v>11</v>
      </c>
      <c r="I7" s="41" t="s">
        <v>9</v>
      </c>
      <c r="J7" s="45" t="s">
        <v>18</v>
      </c>
      <c r="K7">
        <v>612</v>
      </c>
      <c r="L7">
        <f t="shared" si="3"/>
        <v>1</v>
      </c>
      <c r="M7">
        <v>51.849622503718564</v>
      </c>
      <c r="N7">
        <v>53.00361642169446</v>
      </c>
      <c r="O7">
        <f t="shared" si="0"/>
        <v>0</v>
      </c>
      <c r="P7">
        <f t="shared" si="1"/>
        <v>0</v>
      </c>
      <c r="Q7">
        <f t="shared" si="2"/>
        <v>1.1719999999999999</v>
      </c>
      <c r="R7">
        <v>0</v>
      </c>
      <c r="S7">
        <f t="shared" si="4"/>
        <v>1.0077977334535546</v>
      </c>
      <c r="T7">
        <v>0.58049733113369573</v>
      </c>
      <c r="U7">
        <f t="shared" si="5"/>
        <v>-0.42730040231985889</v>
      </c>
      <c r="V7" s="53" t="s">
        <v>24</v>
      </c>
      <c r="W7">
        <v>-1.13587406231675</v>
      </c>
    </row>
    <row r="8" spans="1:23">
      <c r="A8">
        <f t="shared" si="6"/>
        <v>7</v>
      </c>
      <c r="B8" s="2">
        <f t="shared" si="7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36">
        <v>4.4000000000000004</v>
      </c>
      <c r="H8" s="5">
        <v>11</v>
      </c>
      <c r="I8" s="41" t="s">
        <v>9</v>
      </c>
      <c r="J8" s="45" t="s">
        <v>15</v>
      </c>
      <c r="K8">
        <v>210</v>
      </c>
      <c r="L8">
        <f t="shared" si="3"/>
        <v>3</v>
      </c>
      <c r="M8">
        <v>61.668145708230284</v>
      </c>
      <c r="N8">
        <v>62.641521334427388</v>
      </c>
      <c r="O8">
        <f t="shared" si="0"/>
        <v>0</v>
      </c>
      <c r="P8">
        <f t="shared" si="1"/>
        <v>0</v>
      </c>
      <c r="Q8">
        <f t="shared" si="2"/>
        <v>1.8080000000000001</v>
      </c>
      <c r="R8">
        <v>0</v>
      </c>
      <c r="S8">
        <f t="shared" si="4"/>
        <v>1.4381144702684077</v>
      </c>
      <c r="T8">
        <v>-0.3782770905392091</v>
      </c>
      <c r="U8">
        <f t="shared" si="5"/>
        <v>-1.8163915608076167</v>
      </c>
      <c r="V8" s="53" t="s">
        <v>31</v>
      </c>
      <c r="W8" s="50">
        <v>1.1719999999999999</v>
      </c>
    </row>
    <row r="9" spans="1:23">
      <c r="A9">
        <f t="shared" si="6"/>
        <v>8</v>
      </c>
      <c r="B9" s="2">
        <f t="shared" si="7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36">
        <v>4.4000000000000004</v>
      </c>
      <c r="H9" s="5">
        <v>11</v>
      </c>
      <c r="I9" s="41" t="s">
        <v>9</v>
      </c>
      <c r="J9" s="45" t="s">
        <v>17</v>
      </c>
      <c r="K9">
        <v>1141</v>
      </c>
      <c r="L9">
        <f t="shared" si="3"/>
        <v>1</v>
      </c>
      <c r="M9">
        <v>145.7603890243447</v>
      </c>
      <c r="N9">
        <v>146.17486448951581</v>
      </c>
      <c r="O9">
        <f t="shared" si="0"/>
        <v>0</v>
      </c>
      <c r="P9">
        <f t="shared" si="1"/>
        <v>0</v>
      </c>
      <c r="Q9">
        <f t="shared" si="2"/>
        <v>1.1719999999999999</v>
      </c>
      <c r="R9">
        <v>1</v>
      </c>
      <c r="S9">
        <f t="shared" si="4"/>
        <v>-0.21440744731040806</v>
      </c>
      <c r="T9">
        <v>-1.4328567822336677</v>
      </c>
      <c r="U9">
        <f t="shared" si="5"/>
        <v>-1.2184493349232597</v>
      </c>
      <c r="V9" s="53" t="s">
        <v>32</v>
      </c>
      <c r="W9" s="50">
        <v>1.6830000000000001</v>
      </c>
    </row>
    <row r="10" spans="1:23">
      <c r="A10">
        <f t="shared" si="6"/>
        <v>9</v>
      </c>
      <c r="B10" s="2">
        <f t="shared" si="7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36">
        <v>3.9</v>
      </c>
      <c r="H10" s="5">
        <v>10</v>
      </c>
      <c r="I10" s="41" t="s">
        <v>9</v>
      </c>
      <c r="J10" s="45" t="s">
        <v>18</v>
      </c>
      <c r="K10">
        <v>612</v>
      </c>
      <c r="L10">
        <f t="shared" si="3"/>
        <v>1</v>
      </c>
      <c r="M10">
        <v>92.404790052454644</v>
      </c>
      <c r="N10">
        <v>92.944312492148882</v>
      </c>
      <c r="O10">
        <f t="shared" si="0"/>
        <v>0</v>
      </c>
      <c r="P10">
        <f t="shared" si="1"/>
        <v>0</v>
      </c>
      <c r="Q10">
        <f t="shared" si="2"/>
        <v>1.1719999999999999</v>
      </c>
      <c r="R10">
        <v>0</v>
      </c>
      <c r="S10">
        <f t="shared" si="4"/>
        <v>-0.12185863440162525</v>
      </c>
      <c r="T10">
        <v>-2.644859722554783</v>
      </c>
      <c r="U10">
        <f t="shared" si="5"/>
        <v>-2.5230010881531575</v>
      </c>
      <c r="V10" s="53" t="s">
        <v>33</v>
      </c>
      <c r="W10" s="50">
        <v>1.8080000000000001</v>
      </c>
    </row>
    <row r="11" spans="1:23">
      <c r="A11">
        <f t="shared" si="6"/>
        <v>10</v>
      </c>
      <c r="B11" s="2">
        <f t="shared" si="7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36">
        <v>3.9</v>
      </c>
      <c r="H11" s="5">
        <v>10</v>
      </c>
      <c r="I11" s="41" t="s">
        <v>9</v>
      </c>
      <c r="J11" s="45" t="s">
        <v>15</v>
      </c>
      <c r="K11">
        <v>210</v>
      </c>
      <c r="L11">
        <f t="shared" si="3"/>
        <v>3</v>
      </c>
      <c r="M11">
        <v>99.718584231845142</v>
      </c>
      <c r="N11">
        <v>100.21874096796265</v>
      </c>
      <c r="O11">
        <f t="shared" si="0"/>
        <v>0</v>
      </c>
      <c r="P11">
        <f t="shared" si="1"/>
        <v>0</v>
      </c>
      <c r="Q11">
        <f t="shared" si="2"/>
        <v>1.8080000000000001</v>
      </c>
      <c r="R11">
        <v>0</v>
      </c>
      <c r="S11">
        <f t="shared" si="4"/>
        <v>0.42665696670532705</v>
      </c>
      <c r="T11">
        <v>-2.3893325072849483</v>
      </c>
      <c r="U11">
        <f t="shared" si="5"/>
        <v>-2.8159894739902755</v>
      </c>
      <c r="V11" t="s">
        <v>41</v>
      </c>
      <c r="W11" s="55">
        <v>0</v>
      </c>
    </row>
    <row r="12" spans="1:23">
      <c r="A12">
        <f t="shared" si="6"/>
        <v>11</v>
      </c>
      <c r="B12" s="2">
        <f t="shared" si="7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36">
        <v>3.9</v>
      </c>
      <c r="H12" s="5">
        <v>10</v>
      </c>
      <c r="I12" s="41" t="s">
        <v>9</v>
      </c>
      <c r="J12" s="45" t="s">
        <v>17</v>
      </c>
      <c r="K12">
        <v>1141</v>
      </c>
      <c r="L12">
        <f t="shared" si="3"/>
        <v>1</v>
      </c>
      <c r="M12">
        <v>186.63118908550243</v>
      </c>
      <c r="N12">
        <v>186.89890513180796</v>
      </c>
      <c r="O12">
        <f t="shared" si="0"/>
        <v>0</v>
      </c>
      <c r="P12">
        <f t="shared" si="1"/>
        <v>0</v>
      </c>
      <c r="Q12">
        <f t="shared" si="2"/>
        <v>1.1719999999999999</v>
      </c>
      <c r="R12">
        <v>1</v>
      </c>
      <c r="S12">
        <f t="shared" si="4"/>
        <v>-0.94725797420845192</v>
      </c>
      <c r="T12">
        <v>-4.5335337736055559</v>
      </c>
      <c r="U12">
        <f t="shared" si="5"/>
        <v>-3.5862757993971037</v>
      </c>
      <c r="V12" t="s">
        <v>42</v>
      </c>
      <c r="W12" s="55">
        <v>0</v>
      </c>
    </row>
    <row r="13" spans="1:23">
      <c r="A13">
        <f t="shared" si="6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36">
        <v>4</v>
      </c>
      <c r="H13" s="5">
        <v>24</v>
      </c>
      <c r="I13" s="41" t="s">
        <v>9</v>
      </c>
      <c r="J13" s="45" t="s">
        <v>19</v>
      </c>
      <c r="K13">
        <v>283</v>
      </c>
      <c r="L13">
        <f t="shared" si="3"/>
        <v>3</v>
      </c>
      <c r="M13">
        <v>71.326978734067708</v>
      </c>
      <c r="N13">
        <v>75.256480753023169</v>
      </c>
      <c r="O13">
        <f t="shared" si="0"/>
        <v>1</v>
      </c>
      <c r="P13">
        <f t="shared" si="1"/>
        <v>0</v>
      </c>
      <c r="Q13">
        <f t="shared" si="2"/>
        <v>1.8080000000000001</v>
      </c>
      <c r="R13">
        <v>0</v>
      </c>
      <c r="S13">
        <f t="shared" si="4"/>
        <v>1.2445225114715375</v>
      </c>
      <c r="T13">
        <v>0.35181488327477139</v>
      </c>
      <c r="U13">
        <f t="shared" si="5"/>
        <v>-0.89270762819676608</v>
      </c>
      <c r="V13" t="s">
        <v>43</v>
      </c>
      <c r="W13" s="55">
        <v>0</v>
      </c>
    </row>
    <row r="14" spans="1:23">
      <c r="A14" s="8">
        <f t="shared" si="6"/>
        <v>13</v>
      </c>
      <c r="B14" s="9">
        <f t="shared" si="7"/>
        <v>5</v>
      </c>
      <c r="C14" s="10">
        <v>42912</v>
      </c>
      <c r="D14" s="11" t="s">
        <v>4</v>
      </c>
      <c r="E14" s="12">
        <v>-8.44</v>
      </c>
      <c r="F14" s="12">
        <v>117.26</v>
      </c>
      <c r="G14" s="37">
        <v>3.8</v>
      </c>
      <c r="H14" s="12">
        <v>10</v>
      </c>
      <c r="I14" s="42" t="s">
        <v>9</v>
      </c>
      <c r="J14" s="46" t="s">
        <v>19</v>
      </c>
      <c r="K14">
        <v>283</v>
      </c>
      <c r="L14">
        <f t="shared" si="3"/>
        <v>3</v>
      </c>
      <c r="M14">
        <v>17.815188989454146</v>
      </c>
      <c r="N14">
        <v>20.429903541866473</v>
      </c>
      <c r="O14">
        <f t="shared" si="0"/>
        <v>0</v>
      </c>
      <c r="P14">
        <f t="shared" si="1"/>
        <v>0</v>
      </c>
      <c r="Q14">
        <f t="shared" si="2"/>
        <v>1.8080000000000001</v>
      </c>
      <c r="R14">
        <v>0</v>
      </c>
      <c r="S14">
        <f t="shared" si="4"/>
        <v>2.2637686430960207</v>
      </c>
      <c r="T14">
        <v>0.55017357521109156</v>
      </c>
      <c r="U14">
        <f t="shared" si="5"/>
        <v>-1.713595067884929</v>
      </c>
    </row>
    <row r="15" spans="1:23">
      <c r="A15">
        <f t="shared" si="6"/>
        <v>14</v>
      </c>
      <c r="B15" s="2">
        <f t="shared" si="7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36">
        <v>5.0999999999999996</v>
      </c>
      <c r="H15" s="5">
        <v>30</v>
      </c>
      <c r="I15" s="41" t="s">
        <v>10</v>
      </c>
      <c r="J15" s="45" t="s">
        <v>13</v>
      </c>
      <c r="K15">
        <v>386</v>
      </c>
      <c r="L15">
        <f t="shared" si="3"/>
        <v>2</v>
      </c>
      <c r="M15">
        <v>73.482911519556041</v>
      </c>
      <c r="N15">
        <v>79.370890667743566</v>
      </c>
      <c r="O15">
        <f t="shared" si="0"/>
        <v>1</v>
      </c>
      <c r="P15">
        <f t="shared" si="1"/>
        <v>1</v>
      </c>
      <c r="Q15">
        <f t="shared" si="2"/>
        <v>1.6830000000000001</v>
      </c>
      <c r="R15">
        <v>0</v>
      </c>
      <c r="S15">
        <f t="shared" si="4"/>
        <v>1.2211125703963299</v>
      </c>
      <c r="T15">
        <v>2.0486196458171517</v>
      </c>
      <c r="U15">
        <f t="shared" si="5"/>
        <v>0.8275070754208218</v>
      </c>
    </row>
    <row r="16" spans="1:23">
      <c r="A16">
        <f t="shared" si="6"/>
        <v>15</v>
      </c>
      <c r="B16" s="2">
        <f t="shared" si="7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36">
        <v>5.0999999999999996</v>
      </c>
      <c r="H16" s="5">
        <v>30</v>
      </c>
      <c r="I16" s="41" t="s">
        <v>10</v>
      </c>
      <c r="J16" s="45" t="s">
        <v>14</v>
      </c>
      <c r="K16">
        <v>290</v>
      </c>
      <c r="L16">
        <f t="shared" si="3"/>
        <v>3</v>
      </c>
      <c r="M16">
        <v>86.954160124792679</v>
      </c>
      <c r="N16">
        <v>91.983835335389699</v>
      </c>
      <c r="O16">
        <f t="shared" si="0"/>
        <v>1</v>
      </c>
      <c r="P16">
        <f t="shared" si="1"/>
        <v>1</v>
      </c>
      <c r="Q16">
        <f t="shared" si="2"/>
        <v>1.8080000000000001</v>
      </c>
      <c r="R16">
        <v>0</v>
      </c>
      <c r="S16">
        <f t="shared" si="4"/>
        <v>1.1564664918406864</v>
      </c>
      <c r="T16">
        <v>2.6625061832990813</v>
      </c>
      <c r="U16">
        <f t="shared" si="5"/>
        <v>1.5060396914583949</v>
      </c>
    </row>
    <row r="17" spans="1:26">
      <c r="A17">
        <f t="shared" si="6"/>
        <v>16</v>
      </c>
      <c r="B17" s="2">
        <f t="shared" si="7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36">
        <v>5.0999999999999996</v>
      </c>
      <c r="H17" s="5">
        <v>30</v>
      </c>
      <c r="I17" s="41" t="s">
        <v>10</v>
      </c>
      <c r="J17" s="45" t="s">
        <v>19</v>
      </c>
      <c r="K17">
        <v>283</v>
      </c>
      <c r="L17">
        <f t="shared" si="3"/>
        <v>3</v>
      </c>
      <c r="M17">
        <v>167.80782469041785</v>
      </c>
      <c r="N17">
        <v>170.4683725132906</v>
      </c>
      <c r="O17">
        <f t="shared" si="0"/>
        <v>1</v>
      </c>
      <c r="P17">
        <f t="shared" si="1"/>
        <v>1</v>
      </c>
      <c r="Q17">
        <f t="shared" si="2"/>
        <v>1.8080000000000001</v>
      </c>
      <c r="R17">
        <v>1</v>
      </c>
      <c r="S17">
        <f t="shared" si="4"/>
        <v>0.38032865394335946</v>
      </c>
      <c r="T17">
        <v>-1.3627278773088553E-2</v>
      </c>
      <c r="U17">
        <f t="shared" si="5"/>
        <v>-0.39395593271644802</v>
      </c>
    </row>
    <row r="18" spans="1:26">
      <c r="A18">
        <f t="shared" si="6"/>
        <v>17</v>
      </c>
      <c r="B18" s="2">
        <f t="shared" si="7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36">
        <v>5.0999999999999996</v>
      </c>
      <c r="H18" s="5">
        <v>30</v>
      </c>
      <c r="I18" s="41" t="s">
        <v>10</v>
      </c>
      <c r="J18" s="45" t="s">
        <v>17</v>
      </c>
      <c r="K18">
        <v>1141</v>
      </c>
      <c r="L18">
        <f t="shared" si="3"/>
        <v>1</v>
      </c>
      <c r="M18">
        <v>232.99229188908313</v>
      </c>
      <c r="N18">
        <v>234.91574676834185</v>
      </c>
      <c r="O18">
        <f t="shared" si="0"/>
        <v>1</v>
      </c>
      <c r="P18">
        <f t="shared" si="1"/>
        <v>1</v>
      </c>
      <c r="Q18">
        <f t="shared" si="2"/>
        <v>1.1719999999999999</v>
      </c>
      <c r="R18">
        <v>1</v>
      </c>
      <c r="S18">
        <f t="shared" si="4"/>
        <v>-0.66516804845662669</v>
      </c>
      <c r="T18">
        <v>-1.2186320280190892</v>
      </c>
      <c r="U18">
        <f t="shared" si="5"/>
        <v>-0.55346397956246252</v>
      </c>
    </row>
    <row r="19" spans="1:26">
      <c r="A19">
        <f t="shared" si="6"/>
        <v>18</v>
      </c>
      <c r="B19" s="2">
        <f t="shared" si="7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36">
        <v>4.9000000000000004</v>
      </c>
      <c r="H19" s="5">
        <v>17</v>
      </c>
      <c r="I19" s="41" t="s">
        <v>10</v>
      </c>
      <c r="J19" s="45" t="s">
        <v>14</v>
      </c>
      <c r="K19">
        <v>290</v>
      </c>
      <c r="L19">
        <f t="shared" si="3"/>
        <v>3</v>
      </c>
      <c r="M19">
        <v>87.504747432513781</v>
      </c>
      <c r="N19">
        <v>89.140792139334437</v>
      </c>
      <c r="O19">
        <f t="shared" si="0"/>
        <v>1</v>
      </c>
      <c r="P19">
        <f t="shared" si="1"/>
        <v>1</v>
      </c>
      <c r="Q19">
        <f t="shared" si="2"/>
        <v>1.8080000000000001</v>
      </c>
      <c r="R19">
        <v>0</v>
      </c>
      <c r="S19">
        <f t="shared" si="4"/>
        <v>0.43213109122348303</v>
      </c>
      <c r="T19">
        <v>2.8366351412347917</v>
      </c>
      <c r="U19">
        <f t="shared" si="5"/>
        <v>2.4045040500113086</v>
      </c>
    </row>
    <row r="20" spans="1:26">
      <c r="A20" s="8">
        <f t="shared" si="6"/>
        <v>19</v>
      </c>
      <c r="B20" s="9">
        <f t="shared" si="7"/>
        <v>7</v>
      </c>
      <c r="C20" s="10">
        <v>43130</v>
      </c>
      <c r="D20" s="11">
        <v>8.3715277777777777E-2</v>
      </c>
      <c r="E20" s="12">
        <v>-7.9</v>
      </c>
      <c r="F20" s="12">
        <v>118.82</v>
      </c>
      <c r="G20" s="37">
        <v>4.9000000000000004</v>
      </c>
      <c r="H20" s="12">
        <v>17</v>
      </c>
      <c r="I20" s="42" t="s">
        <v>10</v>
      </c>
      <c r="J20" s="46" t="s">
        <v>17</v>
      </c>
      <c r="K20">
        <v>1141</v>
      </c>
      <c r="L20">
        <f t="shared" si="3"/>
        <v>1</v>
      </c>
      <c r="M20">
        <v>234.58300285380335</v>
      </c>
      <c r="N20">
        <v>235.198182875437</v>
      </c>
      <c r="O20">
        <f t="shared" si="0"/>
        <v>1</v>
      </c>
      <c r="P20">
        <f t="shared" si="1"/>
        <v>1</v>
      </c>
      <c r="Q20">
        <f t="shared" si="2"/>
        <v>1.1719999999999999</v>
      </c>
      <c r="R20">
        <v>1</v>
      </c>
      <c r="S20">
        <f t="shared" si="4"/>
        <v>-1.414166032185024</v>
      </c>
      <c r="T20">
        <v>-0.65756319394488749</v>
      </c>
      <c r="U20">
        <f t="shared" si="5"/>
        <v>0.75660283824013652</v>
      </c>
    </row>
    <row r="21" spans="1:26">
      <c r="A21" s="8">
        <f t="shared" si="6"/>
        <v>20</v>
      </c>
      <c r="B21" s="9">
        <f t="shared" si="7"/>
        <v>8</v>
      </c>
      <c r="C21" s="10">
        <v>43133</v>
      </c>
      <c r="D21" s="11">
        <v>0.24946759259182727</v>
      </c>
      <c r="E21" s="12">
        <v>-7.98</v>
      </c>
      <c r="F21" s="12">
        <v>115.88</v>
      </c>
      <c r="G21" s="37">
        <v>4.7</v>
      </c>
      <c r="H21" s="12">
        <v>27</v>
      </c>
      <c r="I21" s="42" t="s">
        <v>9</v>
      </c>
      <c r="J21" s="46" t="s">
        <v>17</v>
      </c>
      <c r="K21">
        <v>1141</v>
      </c>
      <c r="L21">
        <f t="shared" si="3"/>
        <v>1</v>
      </c>
      <c r="M21">
        <v>139.59393854085613</v>
      </c>
      <c r="N21">
        <v>142.18110872175782</v>
      </c>
      <c r="O21">
        <f t="shared" si="0"/>
        <v>1</v>
      </c>
      <c r="P21">
        <f t="shared" si="1"/>
        <v>0</v>
      </c>
      <c r="Q21">
        <f t="shared" si="2"/>
        <v>1.1719999999999999</v>
      </c>
      <c r="R21">
        <v>1</v>
      </c>
      <c r="S21">
        <f t="shared" si="4"/>
        <v>0.61331098159481567</v>
      </c>
      <c r="T21">
        <v>-1.3130605032890952</v>
      </c>
      <c r="U21">
        <f t="shared" si="5"/>
        <v>-1.9263714848839109</v>
      </c>
      <c r="Z21" s="50"/>
    </row>
    <row r="22" spans="1:26">
      <c r="A22">
        <f t="shared" si="6"/>
        <v>21</v>
      </c>
      <c r="B22" s="2">
        <f t="shared" si="7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36">
        <v>3.6</v>
      </c>
      <c r="H22" s="5">
        <v>10</v>
      </c>
      <c r="I22" s="41" t="s">
        <v>10</v>
      </c>
      <c r="J22" s="45" t="s">
        <v>17</v>
      </c>
      <c r="K22">
        <v>1141</v>
      </c>
      <c r="L22">
        <f t="shared" si="3"/>
        <v>1</v>
      </c>
      <c r="M22">
        <v>94.330220972540559</v>
      </c>
      <c r="N22">
        <v>94.858792890950966</v>
      </c>
      <c r="O22">
        <f t="shared" si="0"/>
        <v>0</v>
      </c>
      <c r="P22">
        <f t="shared" si="1"/>
        <v>1</v>
      </c>
      <c r="Q22">
        <f t="shared" si="2"/>
        <v>1.1719999999999999</v>
      </c>
      <c r="R22">
        <v>1</v>
      </c>
      <c r="S22">
        <f t="shared" si="4"/>
        <v>-1.5456051818258414</v>
      </c>
      <c r="T22">
        <v>-1.4644633059514389</v>
      </c>
      <c r="U22">
        <f t="shared" si="5"/>
        <v>8.1141875874402469E-2</v>
      </c>
      <c r="Z22" s="50"/>
    </row>
    <row r="23" spans="1:26">
      <c r="A23" s="13">
        <f t="shared" si="6"/>
        <v>22</v>
      </c>
      <c r="B23" s="14">
        <f t="shared" si="7"/>
        <v>10</v>
      </c>
      <c r="C23" s="15">
        <v>43309</v>
      </c>
      <c r="D23" s="16">
        <v>0.94975694445020054</v>
      </c>
      <c r="E23" s="17">
        <v>-8.2799999999999994</v>
      </c>
      <c r="F23" s="17">
        <v>116.51</v>
      </c>
      <c r="G23" s="38">
        <v>6.5</v>
      </c>
      <c r="H23" s="17">
        <v>13</v>
      </c>
      <c r="I23" s="43" t="s">
        <v>10</v>
      </c>
      <c r="J23" s="47" t="s">
        <v>19</v>
      </c>
      <c r="K23">
        <v>283</v>
      </c>
      <c r="L23">
        <f t="shared" si="3"/>
        <v>3</v>
      </c>
      <c r="M23">
        <v>102.95038203100468</v>
      </c>
      <c r="N23">
        <v>103.76791970705499</v>
      </c>
      <c r="O23">
        <f t="shared" si="0"/>
        <v>0</v>
      </c>
      <c r="P23">
        <f t="shared" si="1"/>
        <v>1</v>
      </c>
      <c r="Q23">
        <f t="shared" si="2"/>
        <v>1.8080000000000001</v>
      </c>
      <c r="R23">
        <v>0</v>
      </c>
      <c r="S23">
        <f t="shared" si="4"/>
        <v>1.8570071354367363</v>
      </c>
      <c r="T23">
        <v>3.311602156407226</v>
      </c>
      <c r="U23">
        <f t="shared" si="5"/>
        <v>1.4545950209704896</v>
      </c>
      <c r="Z23" s="50"/>
    </row>
    <row r="24" spans="1:26">
      <c r="A24">
        <f t="shared" si="6"/>
        <v>23</v>
      </c>
      <c r="B24" s="2">
        <f t="shared" si="7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36">
        <v>4.9000000000000004</v>
      </c>
      <c r="H24" s="5">
        <v>10</v>
      </c>
      <c r="I24" s="41" t="s">
        <v>10</v>
      </c>
      <c r="J24" s="45" t="s">
        <v>19</v>
      </c>
      <c r="K24">
        <v>283</v>
      </c>
      <c r="L24">
        <f t="shared" si="3"/>
        <v>3</v>
      </c>
      <c r="M24">
        <v>103.61008734061461</v>
      </c>
      <c r="N24">
        <v>104.09154720115264</v>
      </c>
      <c r="O24">
        <f t="shared" si="0"/>
        <v>0</v>
      </c>
      <c r="P24">
        <f t="shared" si="1"/>
        <v>1</v>
      </c>
      <c r="Q24">
        <f t="shared" si="2"/>
        <v>1.8080000000000001</v>
      </c>
      <c r="R24">
        <v>1</v>
      </c>
      <c r="S24">
        <f t="shared" si="4"/>
        <v>0.15157607281947572</v>
      </c>
      <c r="T24">
        <v>0.59185750576941021</v>
      </c>
      <c r="U24">
        <f t="shared" si="5"/>
        <v>0.44028143294993449</v>
      </c>
      <c r="Z24" s="55"/>
    </row>
    <row r="25" spans="1:26">
      <c r="A25">
        <f t="shared" si="6"/>
        <v>24</v>
      </c>
      <c r="B25" s="2">
        <f t="shared" si="7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36">
        <v>5.4</v>
      </c>
      <c r="H25" s="5">
        <v>10</v>
      </c>
      <c r="I25" s="41" t="s">
        <v>10</v>
      </c>
      <c r="J25" s="45" t="s">
        <v>14</v>
      </c>
      <c r="K25">
        <v>290</v>
      </c>
      <c r="L25">
        <f t="shared" si="3"/>
        <v>3</v>
      </c>
      <c r="M25">
        <v>208.12715043998526</v>
      </c>
      <c r="N25">
        <v>208.36724970654157</v>
      </c>
      <c r="O25">
        <f t="shared" si="0"/>
        <v>0</v>
      </c>
      <c r="P25">
        <f t="shared" si="1"/>
        <v>1</v>
      </c>
      <c r="Q25">
        <f t="shared" si="2"/>
        <v>1.8080000000000001</v>
      </c>
      <c r="R25">
        <v>1</v>
      </c>
      <c r="S25">
        <f t="shared" si="4"/>
        <v>-0.26408332607747353</v>
      </c>
      <c r="T25">
        <v>0.78451112328835726</v>
      </c>
      <c r="U25">
        <f t="shared" si="5"/>
        <v>1.0485944493658308</v>
      </c>
      <c r="Z25" s="55"/>
    </row>
    <row r="26" spans="1:26">
      <c r="A26">
        <f t="shared" si="6"/>
        <v>25</v>
      </c>
      <c r="B26" s="2">
        <f t="shared" si="7"/>
        <v>12</v>
      </c>
      <c r="C26" s="18">
        <v>43310</v>
      </c>
      <c r="D26" s="19">
        <v>7.6759259259259263E-2</v>
      </c>
      <c r="E26" s="20">
        <v>-8.2200000000000006</v>
      </c>
      <c r="F26" s="20">
        <v>116.46</v>
      </c>
      <c r="G26" s="36">
        <v>5.4</v>
      </c>
      <c r="H26" s="20">
        <v>10</v>
      </c>
      <c r="I26" s="2" t="s">
        <v>10</v>
      </c>
      <c r="J26" s="45" t="s">
        <v>16</v>
      </c>
      <c r="K26">
        <v>770</v>
      </c>
      <c r="L26">
        <f t="shared" si="3"/>
        <v>1</v>
      </c>
      <c r="M26">
        <v>63.920882697035651</v>
      </c>
      <c r="N26">
        <v>64.698371268279942</v>
      </c>
      <c r="O26">
        <f t="shared" si="0"/>
        <v>0</v>
      </c>
      <c r="P26">
        <f t="shared" si="1"/>
        <v>1</v>
      </c>
      <c r="Q26">
        <f t="shared" si="2"/>
        <v>1.1719999999999999</v>
      </c>
      <c r="R26">
        <v>1</v>
      </c>
      <c r="S26">
        <f t="shared" si="4"/>
        <v>0.64492622293577373</v>
      </c>
      <c r="T26">
        <v>0.87367528188474119</v>
      </c>
      <c r="U26">
        <f t="shared" si="5"/>
        <v>0.22874905894896747</v>
      </c>
      <c r="Z26" s="55"/>
    </row>
    <row r="27" spans="1:26">
      <c r="A27">
        <f t="shared" si="6"/>
        <v>26</v>
      </c>
      <c r="B27" s="2">
        <f t="shared" si="7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36">
        <v>5.4</v>
      </c>
      <c r="H27" s="5">
        <v>10</v>
      </c>
      <c r="I27" s="41" t="s">
        <v>10</v>
      </c>
      <c r="J27" s="45" t="s">
        <v>19</v>
      </c>
      <c r="K27">
        <v>283</v>
      </c>
      <c r="L27">
        <f t="shared" si="3"/>
        <v>3</v>
      </c>
      <c r="M27">
        <v>109.98524049130438</v>
      </c>
      <c r="N27">
        <v>110.43891128551594</v>
      </c>
      <c r="O27">
        <f t="shared" si="0"/>
        <v>0</v>
      </c>
      <c r="P27">
        <f t="shared" si="1"/>
        <v>1</v>
      </c>
      <c r="Q27">
        <f t="shared" si="2"/>
        <v>1.8080000000000001</v>
      </c>
      <c r="R27">
        <v>1</v>
      </c>
      <c r="S27">
        <f t="shared" si="4"/>
        <v>0.55461038641093063</v>
      </c>
      <c r="T27">
        <v>0.81541164497884822</v>
      </c>
      <c r="U27">
        <f t="shared" si="5"/>
        <v>0.26080125856791758</v>
      </c>
      <c r="Z27" s="54"/>
    </row>
    <row r="28" spans="1:26">
      <c r="A28">
        <f t="shared" si="6"/>
        <v>27</v>
      </c>
      <c r="B28" s="2">
        <f t="shared" si="7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36">
        <v>5.4</v>
      </c>
      <c r="H28" s="5">
        <v>10</v>
      </c>
      <c r="I28" s="41" t="s">
        <v>10</v>
      </c>
      <c r="J28" s="45" t="s">
        <v>17</v>
      </c>
      <c r="K28">
        <v>1141</v>
      </c>
      <c r="L28">
        <f t="shared" si="3"/>
        <v>1</v>
      </c>
      <c r="M28">
        <v>74.238713416035168</v>
      </c>
      <c r="N28">
        <v>74.909188819985232</v>
      </c>
      <c r="O28">
        <f t="shared" si="0"/>
        <v>0</v>
      </c>
      <c r="P28">
        <f t="shared" si="1"/>
        <v>1</v>
      </c>
      <c r="Q28">
        <f t="shared" si="2"/>
        <v>1.1719999999999999</v>
      </c>
      <c r="R28">
        <v>1</v>
      </c>
      <c r="S28">
        <f t="shared" si="4"/>
        <v>0.43774920701537523</v>
      </c>
      <c r="T28">
        <v>0.14428002714950472</v>
      </c>
      <c r="U28">
        <f t="shared" si="5"/>
        <v>-0.29346917986587051</v>
      </c>
    </row>
    <row r="29" spans="1:26">
      <c r="A29">
        <f t="shared" si="6"/>
        <v>28</v>
      </c>
      <c r="B29" s="2">
        <f t="shared" si="7"/>
        <v>13</v>
      </c>
      <c r="C29" s="18">
        <v>43310</v>
      </c>
      <c r="D29" s="19">
        <v>0.48100694444444447</v>
      </c>
      <c r="E29" s="20">
        <v>-8.33</v>
      </c>
      <c r="F29" s="20">
        <v>116.43</v>
      </c>
      <c r="G29" s="36">
        <v>3.5</v>
      </c>
      <c r="H29" s="20">
        <v>10</v>
      </c>
      <c r="I29" s="2" t="s">
        <v>10</v>
      </c>
      <c r="J29" s="45" t="s">
        <v>16</v>
      </c>
      <c r="K29">
        <v>770</v>
      </c>
      <c r="L29">
        <f t="shared" si="3"/>
        <v>1</v>
      </c>
      <c r="M29">
        <v>51.276522104060916</v>
      </c>
      <c r="N29">
        <v>52.242527878044413</v>
      </c>
      <c r="O29">
        <f t="shared" si="0"/>
        <v>0</v>
      </c>
      <c r="P29">
        <f t="shared" si="1"/>
        <v>1</v>
      </c>
      <c r="Q29">
        <f t="shared" si="2"/>
        <v>1.1719999999999999</v>
      </c>
      <c r="R29">
        <v>1</v>
      </c>
      <c r="S29">
        <f t="shared" si="4"/>
        <v>-0.95384857855796379</v>
      </c>
      <c r="T29">
        <v>-1.9448237177350147</v>
      </c>
      <c r="U29">
        <f t="shared" si="5"/>
        <v>-0.99097513917705093</v>
      </c>
    </row>
    <row r="30" spans="1:26">
      <c r="A30">
        <f t="shared" si="6"/>
        <v>29</v>
      </c>
      <c r="B30" s="2">
        <f t="shared" si="7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36">
        <v>4.2</v>
      </c>
      <c r="H30" s="5">
        <v>10</v>
      </c>
      <c r="I30" s="41" t="s">
        <v>10</v>
      </c>
      <c r="J30" s="45" t="s">
        <v>14</v>
      </c>
      <c r="K30">
        <v>290</v>
      </c>
      <c r="L30">
        <f t="shared" si="3"/>
        <v>3</v>
      </c>
      <c r="M30">
        <v>184.73212793909977</v>
      </c>
      <c r="N30">
        <v>185.00259212483465</v>
      </c>
      <c r="O30">
        <f t="shared" si="0"/>
        <v>0</v>
      </c>
      <c r="P30">
        <f t="shared" si="1"/>
        <v>1</v>
      </c>
      <c r="Q30">
        <f t="shared" si="2"/>
        <v>1.8080000000000001</v>
      </c>
      <c r="R30">
        <v>0</v>
      </c>
      <c r="S30">
        <f t="shared" si="4"/>
        <v>-1.1753788102473919</v>
      </c>
      <c r="T30">
        <v>-1.7760135985758936</v>
      </c>
      <c r="U30">
        <f t="shared" si="5"/>
        <v>-0.6006347883285017</v>
      </c>
    </row>
    <row r="31" spans="1:26">
      <c r="A31" s="13">
        <f t="shared" si="6"/>
        <v>30</v>
      </c>
      <c r="B31" s="14">
        <f t="shared" si="7"/>
        <v>15</v>
      </c>
      <c r="C31" s="21">
        <v>43317</v>
      </c>
      <c r="D31" s="22">
        <v>0.49070601851851853</v>
      </c>
      <c r="E31" s="23">
        <v>-8.2899999999999991</v>
      </c>
      <c r="F31" s="23">
        <v>116.48</v>
      </c>
      <c r="G31" s="38">
        <v>6.9</v>
      </c>
      <c r="H31" s="23">
        <v>17.8</v>
      </c>
      <c r="I31" s="14" t="s">
        <v>10</v>
      </c>
      <c r="J31" s="47" t="s">
        <v>16</v>
      </c>
      <c r="K31">
        <v>770</v>
      </c>
      <c r="L31">
        <f t="shared" si="3"/>
        <v>1</v>
      </c>
      <c r="M31">
        <v>57.419723907976618</v>
      </c>
      <c r="N31">
        <v>60.115428083548252</v>
      </c>
      <c r="O31">
        <f t="shared" si="0"/>
        <v>1</v>
      </c>
      <c r="P31">
        <f t="shared" si="1"/>
        <v>1</v>
      </c>
      <c r="Q31">
        <f t="shared" si="2"/>
        <v>1.1719999999999999</v>
      </c>
      <c r="R31">
        <v>1</v>
      </c>
      <c r="S31">
        <f t="shared" si="4"/>
        <v>4.042487340106085</v>
      </c>
      <c r="T31">
        <v>4.042351486086261</v>
      </c>
      <c r="U31">
        <f t="shared" si="5"/>
        <v>-1.3585401982396661E-4</v>
      </c>
    </row>
    <row r="32" spans="1:26">
      <c r="A32" s="13">
        <f t="shared" si="6"/>
        <v>31</v>
      </c>
      <c r="B32" s="14">
        <f t="shared" si="7"/>
        <v>15</v>
      </c>
      <c r="C32" s="15">
        <v>43317</v>
      </c>
      <c r="D32" s="16">
        <v>0.49070601851851853</v>
      </c>
      <c r="E32" s="23">
        <v>-8.2899999999999991</v>
      </c>
      <c r="F32" s="17">
        <v>116.48</v>
      </c>
      <c r="G32" s="38">
        <v>6.9</v>
      </c>
      <c r="H32" s="23">
        <v>17.8</v>
      </c>
      <c r="I32" s="43" t="s">
        <v>10</v>
      </c>
      <c r="J32" s="47" t="s">
        <v>19</v>
      </c>
      <c r="K32">
        <v>283</v>
      </c>
      <c r="L32">
        <f t="shared" si="3"/>
        <v>3</v>
      </c>
      <c r="M32">
        <v>105.96476647702214</v>
      </c>
      <c r="N32">
        <v>107.44939150376719</v>
      </c>
      <c r="O32">
        <f t="shared" si="0"/>
        <v>1</v>
      </c>
      <c r="P32">
        <f t="shared" si="1"/>
        <v>1</v>
      </c>
      <c r="Q32">
        <f t="shared" si="2"/>
        <v>1.8080000000000001</v>
      </c>
      <c r="R32">
        <v>0</v>
      </c>
      <c r="S32">
        <f t="shared" si="4"/>
        <v>2.483606972619218</v>
      </c>
      <c r="T32">
        <v>3.1224636037851692</v>
      </c>
      <c r="U32">
        <f t="shared" si="5"/>
        <v>0.63885663116595115</v>
      </c>
    </row>
    <row r="33" spans="1:21">
      <c r="A33" s="13">
        <f t="shared" si="6"/>
        <v>32</v>
      </c>
      <c r="B33" s="14">
        <f t="shared" si="7"/>
        <v>15</v>
      </c>
      <c r="C33" s="15">
        <v>43317</v>
      </c>
      <c r="D33" s="16">
        <v>0.49070601851851853</v>
      </c>
      <c r="E33" s="23">
        <v>-8.2899999999999991</v>
      </c>
      <c r="F33" s="17">
        <v>116.48</v>
      </c>
      <c r="G33" s="38">
        <v>6.9</v>
      </c>
      <c r="H33" s="23">
        <v>17.8</v>
      </c>
      <c r="I33" s="43" t="s">
        <v>10</v>
      </c>
      <c r="J33" s="47" t="s">
        <v>17</v>
      </c>
      <c r="K33">
        <v>1141</v>
      </c>
      <c r="L33">
        <f t="shared" si="3"/>
        <v>1</v>
      </c>
      <c r="M33">
        <v>66.881610355374306</v>
      </c>
      <c r="N33">
        <v>69.20975222992864</v>
      </c>
      <c r="O33">
        <f t="shared" si="0"/>
        <v>1</v>
      </c>
      <c r="P33">
        <f t="shared" si="1"/>
        <v>1</v>
      </c>
      <c r="Q33">
        <f t="shared" si="2"/>
        <v>1.1719999999999999</v>
      </c>
      <c r="R33">
        <v>1</v>
      </c>
      <c r="S33">
        <f t="shared" si="4"/>
        <v>3.1358431032299237</v>
      </c>
      <c r="T33">
        <v>2.9657442861950116</v>
      </c>
      <c r="U33">
        <f t="shared" si="5"/>
        <v>-0.17009881703491203</v>
      </c>
    </row>
    <row r="34" spans="1:21">
      <c r="A34">
        <f t="shared" si="6"/>
        <v>33</v>
      </c>
      <c r="B34" s="2">
        <f t="shared" si="7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36">
        <v>4.4000000000000004</v>
      </c>
      <c r="H34" s="5">
        <v>10</v>
      </c>
      <c r="I34" s="41" t="s">
        <v>10</v>
      </c>
      <c r="J34" s="45" t="s">
        <v>19</v>
      </c>
      <c r="K34">
        <v>283</v>
      </c>
      <c r="L34">
        <f t="shared" si="3"/>
        <v>3</v>
      </c>
      <c r="M34">
        <v>154.91870209025714</v>
      </c>
      <c r="N34">
        <v>155.24111651662983</v>
      </c>
      <c r="O34">
        <f t="shared" ref="O34:O65" si="8">IF(H34&lt;15,0,1)</f>
        <v>0</v>
      </c>
      <c r="P34">
        <f t="shared" ref="P34:P65" si="9">IF(I34="reverse",1,0)</f>
        <v>1</v>
      </c>
      <c r="Q34">
        <f t="shared" ref="Q34:Q65" si="10">IF(L34=1,$W$8,IF(L34=2,$W$9,$W$10))</f>
        <v>1.8080000000000001</v>
      </c>
      <c r="R34">
        <v>1</v>
      </c>
      <c r="S34">
        <f t="shared" si="4"/>
        <v>-0.78707567811730139</v>
      </c>
      <c r="T34">
        <v>-1.0618036718040986</v>
      </c>
      <c r="U34">
        <f t="shared" si="5"/>
        <v>-0.27472799368679723</v>
      </c>
    </row>
    <row r="35" spans="1:21">
      <c r="A35">
        <f t="shared" si="6"/>
        <v>34</v>
      </c>
      <c r="B35" s="2">
        <f t="shared" si="7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36">
        <v>5.0999999999999996</v>
      </c>
      <c r="H35" s="5">
        <v>23</v>
      </c>
      <c r="I35" s="41" t="s">
        <v>10</v>
      </c>
      <c r="J35" s="45" t="s">
        <v>19</v>
      </c>
      <c r="K35">
        <v>283</v>
      </c>
      <c r="L35">
        <f t="shared" si="3"/>
        <v>3</v>
      </c>
      <c r="M35">
        <v>153.83691687865382</v>
      </c>
      <c r="N35">
        <v>155.5467678697627</v>
      </c>
      <c r="O35">
        <f t="shared" si="8"/>
        <v>1</v>
      </c>
      <c r="P35">
        <f t="shared" si="9"/>
        <v>1</v>
      </c>
      <c r="Q35">
        <f t="shared" si="10"/>
        <v>1.8080000000000001</v>
      </c>
      <c r="R35">
        <v>1</v>
      </c>
      <c r="S35">
        <f t="shared" si="4"/>
        <v>0.18801321886244104</v>
      </c>
      <c r="T35">
        <v>0.6647472530101397</v>
      </c>
      <c r="U35">
        <f t="shared" si="5"/>
        <v>0.47673403414769866</v>
      </c>
    </row>
    <row r="36" spans="1:21">
      <c r="A36">
        <f t="shared" si="6"/>
        <v>35</v>
      </c>
      <c r="B36" s="2">
        <f t="shared" si="7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36">
        <v>5.0999999999999996</v>
      </c>
      <c r="H36" s="5">
        <v>23</v>
      </c>
      <c r="I36" s="41" t="s">
        <v>10</v>
      </c>
      <c r="J36" s="45" t="s">
        <v>17</v>
      </c>
      <c r="K36">
        <v>1141</v>
      </c>
      <c r="L36">
        <f t="shared" si="3"/>
        <v>1</v>
      </c>
      <c r="M36">
        <v>101.03942513429189</v>
      </c>
      <c r="N36">
        <v>103.6241546719112</v>
      </c>
      <c r="O36">
        <f t="shared" si="8"/>
        <v>1</v>
      </c>
      <c r="P36">
        <f t="shared" si="9"/>
        <v>1</v>
      </c>
      <c r="Q36">
        <f t="shared" si="10"/>
        <v>1.1719999999999999</v>
      </c>
      <c r="R36">
        <v>1</v>
      </c>
      <c r="S36">
        <f t="shared" si="4"/>
        <v>6.1756725820903968E-2</v>
      </c>
      <c r="T36">
        <v>1.7091410043271826</v>
      </c>
      <c r="U36">
        <f t="shared" si="5"/>
        <v>1.6473842785062787</v>
      </c>
    </row>
    <row r="37" spans="1:21">
      <c r="A37">
        <f t="shared" si="6"/>
        <v>36</v>
      </c>
      <c r="B37" s="2">
        <f t="shared" si="7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36">
        <v>3.9</v>
      </c>
      <c r="H37" s="5">
        <v>10</v>
      </c>
      <c r="I37" s="41" t="s">
        <v>10</v>
      </c>
      <c r="J37" s="45" t="s">
        <v>17</v>
      </c>
      <c r="K37">
        <v>1141</v>
      </c>
      <c r="L37">
        <f t="shared" si="3"/>
        <v>1</v>
      </c>
      <c r="M37">
        <v>96.076875672391154</v>
      </c>
      <c r="N37">
        <v>96.595890383432504</v>
      </c>
      <c r="O37">
        <f t="shared" si="8"/>
        <v>0</v>
      </c>
      <c r="P37">
        <f t="shared" si="9"/>
        <v>1</v>
      </c>
      <c r="Q37">
        <f t="shared" si="10"/>
        <v>1.1719999999999999</v>
      </c>
      <c r="R37">
        <v>1</v>
      </c>
      <c r="S37">
        <f t="shared" si="4"/>
        <v>-1.3024524202750578</v>
      </c>
      <c r="T37">
        <v>-2.3638002634780126</v>
      </c>
      <c r="U37">
        <f t="shared" si="5"/>
        <v>-1.0613478432029548</v>
      </c>
    </row>
    <row r="38" spans="1:21">
      <c r="A38">
        <f t="shared" si="6"/>
        <v>37</v>
      </c>
      <c r="B38" s="2">
        <f t="shared" si="7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36">
        <v>4.4000000000000004</v>
      </c>
      <c r="H38" s="5">
        <v>11</v>
      </c>
      <c r="I38" s="41" t="s">
        <v>10</v>
      </c>
      <c r="J38" s="45" t="s">
        <v>14</v>
      </c>
      <c r="K38">
        <v>290</v>
      </c>
      <c r="L38">
        <f t="shared" si="3"/>
        <v>3</v>
      </c>
      <c r="M38">
        <v>254.16745999184849</v>
      </c>
      <c r="N38">
        <v>254.40538067955225</v>
      </c>
      <c r="O38">
        <f t="shared" si="8"/>
        <v>0</v>
      </c>
      <c r="P38">
        <f t="shared" si="9"/>
        <v>1</v>
      </c>
      <c r="Q38">
        <f t="shared" si="10"/>
        <v>1.8080000000000001</v>
      </c>
      <c r="R38">
        <v>1</v>
      </c>
      <c r="S38">
        <f t="shared" si="4"/>
        <v>-1.4019615060425401</v>
      </c>
      <c r="T38">
        <v>-1.2506079474236969</v>
      </c>
      <c r="U38">
        <f t="shared" si="5"/>
        <v>0.15135355861884325</v>
      </c>
    </row>
    <row r="39" spans="1:21">
      <c r="A39">
        <f t="shared" si="6"/>
        <v>38</v>
      </c>
      <c r="B39" s="2">
        <f t="shared" si="7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36">
        <v>4.4000000000000004</v>
      </c>
      <c r="H39" s="5">
        <v>11</v>
      </c>
      <c r="I39" s="41" t="s">
        <v>10</v>
      </c>
      <c r="J39" s="45" t="s">
        <v>17</v>
      </c>
      <c r="K39">
        <v>1141</v>
      </c>
      <c r="L39">
        <f t="shared" si="3"/>
        <v>1</v>
      </c>
      <c r="M39">
        <v>104.48053403207783</v>
      </c>
      <c r="N39">
        <v>105.05799346850374</v>
      </c>
      <c r="O39">
        <f t="shared" si="8"/>
        <v>0</v>
      </c>
      <c r="P39">
        <f t="shared" si="9"/>
        <v>1</v>
      </c>
      <c r="Q39">
        <f t="shared" si="10"/>
        <v>1.1719999999999999</v>
      </c>
      <c r="R39">
        <v>1</v>
      </c>
      <c r="S39">
        <f t="shared" si="4"/>
        <v>-0.954608058874858</v>
      </c>
      <c r="T39">
        <v>-6.5823845258771663E-2</v>
      </c>
      <c r="U39">
        <f t="shared" si="5"/>
        <v>0.88878421361608639</v>
      </c>
    </row>
    <row r="40" spans="1:21">
      <c r="A40">
        <f t="shared" si="6"/>
        <v>39</v>
      </c>
      <c r="B40" s="2">
        <f t="shared" si="7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36">
        <v>3.8</v>
      </c>
      <c r="H40" s="5">
        <v>14</v>
      </c>
      <c r="I40" s="41" t="s">
        <v>10</v>
      </c>
      <c r="J40" s="45" t="s">
        <v>17</v>
      </c>
      <c r="K40">
        <v>1141</v>
      </c>
      <c r="L40">
        <f t="shared" si="3"/>
        <v>1</v>
      </c>
      <c r="M40">
        <v>91.835397766047166</v>
      </c>
      <c r="N40">
        <v>92.896395424408695</v>
      </c>
      <c r="O40">
        <f t="shared" si="8"/>
        <v>0</v>
      </c>
      <c r="P40">
        <f t="shared" si="9"/>
        <v>1</v>
      </c>
      <c r="Q40">
        <f t="shared" si="10"/>
        <v>1.1719999999999999</v>
      </c>
      <c r="R40">
        <v>1</v>
      </c>
      <c r="S40">
        <f t="shared" si="4"/>
        <v>-1.3456565832272662</v>
      </c>
      <c r="T40">
        <v>-1.8590879473500703</v>
      </c>
      <c r="U40">
        <f t="shared" si="5"/>
        <v>-0.5134313641228041</v>
      </c>
    </row>
    <row r="41" spans="1:21">
      <c r="A41">
        <f t="shared" si="6"/>
        <v>40</v>
      </c>
      <c r="B41" s="2">
        <f t="shared" si="7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36">
        <v>4.5999999999999996</v>
      </c>
      <c r="H41" s="5">
        <v>12</v>
      </c>
      <c r="I41" s="41" t="s">
        <v>10</v>
      </c>
      <c r="J41" s="45" t="s">
        <v>14</v>
      </c>
      <c r="K41">
        <v>290</v>
      </c>
      <c r="L41">
        <f t="shared" si="3"/>
        <v>3</v>
      </c>
      <c r="M41">
        <v>240.35487107688945</v>
      </c>
      <c r="N41">
        <v>240.65424170454207</v>
      </c>
      <c r="O41">
        <f t="shared" si="8"/>
        <v>0</v>
      </c>
      <c r="P41">
        <f t="shared" si="9"/>
        <v>1</v>
      </c>
      <c r="Q41">
        <f t="shared" si="10"/>
        <v>1.8080000000000001</v>
      </c>
      <c r="R41">
        <v>1</v>
      </c>
      <c r="S41">
        <f t="shared" si="4"/>
        <v>-1.1574564864586987</v>
      </c>
      <c r="T41">
        <v>-1.4720133211572048</v>
      </c>
      <c r="U41">
        <f t="shared" si="5"/>
        <v>-0.31455683469850615</v>
      </c>
    </row>
    <row r="42" spans="1:21">
      <c r="A42">
        <f t="shared" si="6"/>
        <v>41</v>
      </c>
      <c r="B42" s="2">
        <f t="shared" si="7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36">
        <v>4.5999999999999996</v>
      </c>
      <c r="H42" s="5">
        <v>12</v>
      </c>
      <c r="I42" s="41" t="s">
        <v>10</v>
      </c>
      <c r="J42" s="45" t="s">
        <v>19</v>
      </c>
      <c r="K42">
        <v>283</v>
      </c>
      <c r="L42">
        <f t="shared" si="3"/>
        <v>3</v>
      </c>
      <c r="M42">
        <v>141.11331413559105</v>
      </c>
      <c r="N42">
        <v>141.62262328572368</v>
      </c>
      <c r="O42">
        <f t="shared" si="8"/>
        <v>0</v>
      </c>
      <c r="P42">
        <f t="shared" si="9"/>
        <v>1</v>
      </c>
      <c r="Q42">
        <f t="shared" si="10"/>
        <v>1.8080000000000001</v>
      </c>
      <c r="R42">
        <v>1</v>
      </c>
      <c r="S42">
        <f t="shared" si="4"/>
        <v>-0.49846449266322401</v>
      </c>
      <c r="T42">
        <v>-0.81861511810364196</v>
      </c>
      <c r="U42">
        <f t="shared" si="5"/>
        <v>-0.32015062544041795</v>
      </c>
    </row>
    <row r="43" spans="1:21">
      <c r="A43">
        <f t="shared" si="6"/>
        <v>42</v>
      </c>
      <c r="B43" s="2">
        <f t="shared" si="7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36">
        <v>6.1</v>
      </c>
      <c r="H43" s="5">
        <v>12</v>
      </c>
      <c r="I43" s="41" t="s">
        <v>10</v>
      </c>
      <c r="J43" s="45" t="s">
        <v>19</v>
      </c>
      <c r="K43">
        <v>283</v>
      </c>
      <c r="L43">
        <f t="shared" si="3"/>
        <v>3</v>
      </c>
      <c r="M43">
        <v>133.30300987573361</v>
      </c>
      <c r="N43">
        <v>133.8420428786483</v>
      </c>
      <c r="O43">
        <f t="shared" si="8"/>
        <v>0</v>
      </c>
      <c r="P43">
        <f t="shared" si="9"/>
        <v>1</v>
      </c>
      <c r="Q43">
        <f t="shared" si="10"/>
        <v>1.8080000000000001</v>
      </c>
      <c r="R43">
        <v>1</v>
      </c>
      <c r="S43">
        <f t="shared" si="4"/>
        <v>1.0016646779824483</v>
      </c>
      <c r="T43">
        <v>1.912805392022584</v>
      </c>
      <c r="U43">
        <f t="shared" si="5"/>
        <v>0.91114071404013575</v>
      </c>
    </row>
    <row r="44" spans="1:21">
      <c r="A44">
        <f t="shared" si="6"/>
        <v>43</v>
      </c>
      <c r="B44" s="2">
        <f t="shared" si="7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36">
        <v>6.1</v>
      </c>
      <c r="H44" s="5">
        <v>12</v>
      </c>
      <c r="I44" s="41" t="s">
        <v>10</v>
      </c>
      <c r="J44" s="45" t="s">
        <v>17</v>
      </c>
      <c r="K44">
        <v>1141</v>
      </c>
      <c r="L44">
        <f t="shared" si="3"/>
        <v>1</v>
      </c>
      <c r="M44">
        <v>84.698985891143934</v>
      </c>
      <c r="N44">
        <v>85.544831585480367</v>
      </c>
      <c r="O44">
        <f t="shared" si="8"/>
        <v>0</v>
      </c>
      <c r="P44">
        <f t="shared" si="9"/>
        <v>1</v>
      </c>
      <c r="Q44">
        <f t="shared" si="10"/>
        <v>1.1719999999999999</v>
      </c>
      <c r="R44">
        <v>1</v>
      </c>
      <c r="S44">
        <f t="shared" si="4"/>
        <v>1.0381096527363831</v>
      </c>
      <c r="T44">
        <v>2.1273466304261062</v>
      </c>
      <c r="U44">
        <f t="shared" si="5"/>
        <v>1.0892369776897231</v>
      </c>
    </row>
    <row r="45" spans="1:21">
      <c r="A45">
        <f t="shared" si="6"/>
        <v>44</v>
      </c>
      <c r="B45" s="2">
        <f t="shared" si="7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36">
        <v>4.8</v>
      </c>
      <c r="H45" s="5">
        <v>10</v>
      </c>
      <c r="I45" s="41" t="s">
        <v>10</v>
      </c>
      <c r="J45" s="45" t="s">
        <v>14</v>
      </c>
      <c r="K45">
        <v>290</v>
      </c>
      <c r="L45">
        <f t="shared" si="3"/>
        <v>3</v>
      </c>
      <c r="M45">
        <v>209.11492183048009</v>
      </c>
      <c r="N45">
        <v>209.3538882661791</v>
      </c>
      <c r="O45">
        <f t="shared" si="8"/>
        <v>0</v>
      </c>
      <c r="P45">
        <f t="shared" si="9"/>
        <v>1</v>
      </c>
      <c r="Q45">
        <f t="shared" si="10"/>
        <v>1.8080000000000001</v>
      </c>
      <c r="R45">
        <v>1</v>
      </c>
      <c r="S45">
        <f t="shared" si="4"/>
        <v>-0.80525909701193554</v>
      </c>
      <c r="T45">
        <v>-1.0400965318881874</v>
      </c>
      <c r="U45">
        <f t="shared" si="5"/>
        <v>-0.23483743487625186</v>
      </c>
    </row>
    <row r="46" spans="1:21">
      <c r="A46">
        <f t="shared" si="6"/>
        <v>45</v>
      </c>
      <c r="B46" s="2">
        <f t="shared" si="7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36">
        <v>4</v>
      </c>
      <c r="H46" s="5">
        <v>10</v>
      </c>
      <c r="I46" s="41" t="s">
        <v>10</v>
      </c>
      <c r="J46" s="45" t="s">
        <v>13</v>
      </c>
      <c r="K46">
        <v>386</v>
      </c>
      <c r="L46">
        <f t="shared" si="3"/>
        <v>2</v>
      </c>
      <c r="M46">
        <v>266.53643214013192</v>
      </c>
      <c r="N46">
        <v>266.72395778780572</v>
      </c>
      <c r="O46">
        <f t="shared" si="8"/>
        <v>0</v>
      </c>
      <c r="P46">
        <f t="shared" si="9"/>
        <v>1</v>
      </c>
      <c r="Q46">
        <f t="shared" si="10"/>
        <v>1.6830000000000001</v>
      </c>
      <c r="R46">
        <v>1</v>
      </c>
      <c r="S46">
        <f t="shared" si="4"/>
        <v>-1.9313591600186093</v>
      </c>
      <c r="T46">
        <v>-0.24077151820930295</v>
      </c>
      <c r="U46">
        <f t="shared" si="5"/>
        <v>1.6905876418093064</v>
      </c>
    </row>
    <row r="47" spans="1:21">
      <c r="A47">
        <f t="shared" si="6"/>
        <v>46</v>
      </c>
      <c r="B47" s="2">
        <f t="shared" si="7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36">
        <v>4</v>
      </c>
      <c r="H47" s="5">
        <v>10</v>
      </c>
      <c r="I47" s="41" t="s">
        <v>10</v>
      </c>
      <c r="J47" s="45" t="s">
        <v>19</v>
      </c>
      <c r="K47">
        <v>283</v>
      </c>
      <c r="L47">
        <f t="shared" si="3"/>
        <v>3</v>
      </c>
      <c r="M47">
        <v>125.86472859435281</v>
      </c>
      <c r="N47">
        <v>126.261355545274</v>
      </c>
      <c r="O47">
        <f t="shared" si="8"/>
        <v>0</v>
      </c>
      <c r="P47">
        <f t="shared" si="9"/>
        <v>1</v>
      </c>
      <c r="Q47">
        <f t="shared" si="10"/>
        <v>1.8080000000000001</v>
      </c>
      <c r="R47">
        <v>1</v>
      </c>
      <c r="S47">
        <f t="shared" si="4"/>
        <v>-0.8914255221259253</v>
      </c>
      <c r="T47">
        <v>-0.76039864166104676</v>
      </c>
      <c r="U47">
        <f t="shared" si="5"/>
        <v>0.13102688046487854</v>
      </c>
    </row>
    <row r="48" spans="1:21">
      <c r="A48">
        <f t="shared" si="6"/>
        <v>47</v>
      </c>
      <c r="B48" s="2">
        <f t="shared" si="7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36">
        <v>4</v>
      </c>
      <c r="H48" s="5">
        <v>10</v>
      </c>
      <c r="I48" s="41" t="s">
        <v>10</v>
      </c>
      <c r="J48" s="45" t="s">
        <v>17</v>
      </c>
      <c r="K48">
        <v>1141</v>
      </c>
      <c r="L48">
        <f t="shared" si="3"/>
        <v>1</v>
      </c>
      <c r="M48">
        <v>87.215807594313191</v>
      </c>
      <c r="N48">
        <v>87.787226259452225</v>
      </c>
      <c r="O48">
        <f t="shared" si="8"/>
        <v>0</v>
      </c>
      <c r="P48">
        <f t="shared" si="9"/>
        <v>1</v>
      </c>
      <c r="Q48">
        <f t="shared" si="10"/>
        <v>1.1719999999999999</v>
      </c>
      <c r="R48">
        <v>1</v>
      </c>
      <c r="S48">
        <f t="shared" si="4"/>
        <v>-1.102298659714801</v>
      </c>
      <c r="T48">
        <v>-2.0331010223553299</v>
      </c>
      <c r="U48">
        <f t="shared" si="5"/>
        <v>-0.93080236264052885</v>
      </c>
    </row>
    <row r="49" spans="1:21">
      <c r="A49">
        <f t="shared" si="6"/>
        <v>48</v>
      </c>
      <c r="B49" s="2">
        <f t="shared" si="7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36">
        <v>4.5</v>
      </c>
      <c r="H49" s="5">
        <v>10</v>
      </c>
      <c r="I49" s="41" t="s">
        <v>10</v>
      </c>
      <c r="J49" s="45" t="s">
        <v>17</v>
      </c>
      <c r="K49">
        <v>1141</v>
      </c>
      <c r="L49">
        <f t="shared" si="3"/>
        <v>1</v>
      </c>
      <c r="M49">
        <v>91.933864428229342</v>
      </c>
      <c r="N49">
        <v>92.47613437372938</v>
      </c>
      <c r="O49">
        <f t="shared" si="8"/>
        <v>0</v>
      </c>
      <c r="P49">
        <f t="shared" si="9"/>
        <v>1</v>
      </c>
      <c r="Q49">
        <f t="shared" si="10"/>
        <v>1.1719999999999999</v>
      </c>
      <c r="R49">
        <v>1</v>
      </c>
      <c r="S49">
        <f t="shared" si="4"/>
        <v>-0.71094687350920571</v>
      </c>
      <c r="T49">
        <v>8.0180083851877484E-2</v>
      </c>
      <c r="U49">
        <f t="shared" si="5"/>
        <v>0.79112695736108318</v>
      </c>
    </row>
    <row r="50" spans="1:21">
      <c r="A50">
        <f t="shared" si="6"/>
        <v>49</v>
      </c>
      <c r="B50" s="2">
        <f t="shared" si="7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36">
        <v>4.5999999999999996</v>
      </c>
      <c r="H50" s="5">
        <v>10</v>
      </c>
      <c r="I50" s="41" t="s">
        <v>10</v>
      </c>
      <c r="J50" s="45" t="s">
        <v>14</v>
      </c>
      <c r="K50">
        <v>290</v>
      </c>
      <c r="L50">
        <f t="shared" si="3"/>
        <v>3</v>
      </c>
      <c r="M50">
        <v>192.58708677294078</v>
      </c>
      <c r="N50">
        <v>192.84653481898042</v>
      </c>
      <c r="O50">
        <f t="shared" si="8"/>
        <v>0</v>
      </c>
      <c r="P50">
        <f t="shared" si="9"/>
        <v>1</v>
      </c>
      <c r="Q50">
        <f t="shared" si="10"/>
        <v>1.8080000000000001</v>
      </c>
      <c r="R50">
        <v>0</v>
      </c>
      <c r="S50">
        <f t="shared" si="4"/>
        <v>-0.87781263536264009</v>
      </c>
      <c r="T50">
        <v>-0.40311609750231414</v>
      </c>
      <c r="U50">
        <f t="shared" si="5"/>
        <v>0.47469653786032595</v>
      </c>
    </row>
    <row r="51" spans="1:21">
      <c r="A51">
        <f t="shared" si="6"/>
        <v>50</v>
      </c>
      <c r="B51" s="2">
        <f t="shared" si="7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36">
        <v>4.5999999999999996</v>
      </c>
      <c r="H51" s="5">
        <v>10</v>
      </c>
      <c r="I51" s="41" t="s">
        <v>10</v>
      </c>
      <c r="J51" s="45" t="s">
        <v>19</v>
      </c>
      <c r="K51">
        <v>283</v>
      </c>
      <c r="L51">
        <f t="shared" si="3"/>
        <v>3</v>
      </c>
      <c r="M51">
        <v>94.763350515534441</v>
      </c>
      <c r="N51">
        <v>95.289519890332343</v>
      </c>
      <c r="O51">
        <f t="shared" si="8"/>
        <v>0</v>
      </c>
      <c r="P51">
        <f t="shared" si="9"/>
        <v>1</v>
      </c>
      <c r="Q51">
        <f t="shared" si="10"/>
        <v>1.8080000000000001</v>
      </c>
      <c r="R51">
        <v>0</v>
      </c>
      <c r="S51">
        <f t="shared" si="4"/>
        <v>-1.9052701314850484E-2</v>
      </c>
      <c r="T51">
        <v>-0.26863209954009909</v>
      </c>
      <c r="U51">
        <f t="shared" si="5"/>
        <v>-0.24957939822524861</v>
      </c>
    </row>
    <row r="52" spans="1:21">
      <c r="A52">
        <f t="shared" si="6"/>
        <v>51</v>
      </c>
      <c r="B52" s="2">
        <f t="shared" si="7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36">
        <v>4.5999999999999996</v>
      </c>
      <c r="H52" s="5">
        <v>10</v>
      </c>
      <c r="I52" s="41" t="s">
        <v>10</v>
      </c>
      <c r="J52" s="45" t="s">
        <v>17</v>
      </c>
      <c r="K52">
        <v>1141</v>
      </c>
      <c r="L52">
        <f t="shared" si="3"/>
        <v>1</v>
      </c>
      <c r="M52">
        <v>64.561395361687786</v>
      </c>
      <c r="N52">
        <v>65.331261820419186</v>
      </c>
      <c r="O52">
        <f t="shared" si="8"/>
        <v>0</v>
      </c>
      <c r="P52">
        <f t="shared" si="9"/>
        <v>1</v>
      </c>
      <c r="Q52">
        <f t="shared" si="10"/>
        <v>1.1719999999999999</v>
      </c>
      <c r="R52">
        <v>0</v>
      </c>
      <c r="S52">
        <f t="shared" si="4"/>
        <v>-0.19337185404647439</v>
      </c>
      <c r="T52">
        <v>-0.7234631724079994</v>
      </c>
      <c r="U52">
        <f t="shared" si="5"/>
        <v>-0.53009131836152501</v>
      </c>
    </row>
    <row r="53" spans="1:21">
      <c r="A53">
        <f t="shared" si="6"/>
        <v>52</v>
      </c>
      <c r="B53" s="2">
        <f t="shared" si="7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36">
        <v>4.3</v>
      </c>
      <c r="H53" s="5">
        <v>10</v>
      </c>
      <c r="I53" s="41" t="s">
        <v>10</v>
      </c>
      <c r="J53" s="45" t="s">
        <v>19</v>
      </c>
      <c r="K53">
        <v>283</v>
      </c>
      <c r="L53">
        <f t="shared" si="3"/>
        <v>3</v>
      </c>
      <c r="M53">
        <v>98.832364451782198</v>
      </c>
      <c r="N53">
        <v>99.336983360327082</v>
      </c>
      <c r="O53">
        <f t="shared" si="8"/>
        <v>0</v>
      </c>
      <c r="P53">
        <f t="shared" si="9"/>
        <v>1</v>
      </c>
      <c r="Q53">
        <f t="shared" si="10"/>
        <v>1.8080000000000001</v>
      </c>
      <c r="R53">
        <v>0</v>
      </c>
      <c r="S53">
        <f t="shared" si="4"/>
        <v>-0.3421994930606489</v>
      </c>
      <c r="T53">
        <v>-0.37162034106079089</v>
      </c>
      <c r="U53">
        <f t="shared" si="5"/>
        <v>-2.9420848000141997E-2</v>
      </c>
    </row>
    <row r="54" spans="1:21">
      <c r="A54">
        <f t="shared" si="6"/>
        <v>53</v>
      </c>
      <c r="B54" s="2">
        <f t="shared" si="7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36">
        <v>5.3</v>
      </c>
      <c r="H54" s="5">
        <v>10</v>
      </c>
      <c r="I54" s="41" t="s">
        <v>10</v>
      </c>
      <c r="J54" s="45" t="s">
        <v>19</v>
      </c>
      <c r="K54">
        <v>283</v>
      </c>
      <c r="L54">
        <f t="shared" si="3"/>
        <v>3</v>
      </c>
      <c r="M54">
        <v>90.807039760856895</v>
      </c>
      <c r="N54">
        <v>91.355998544867575</v>
      </c>
      <c r="O54">
        <f t="shared" si="8"/>
        <v>0</v>
      </c>
      <c r="P54">
        <f t="shared" si="9"/>
        <v>1</v>
      </c>
      <c r="Q54">
        <f t="shared" si="10"/>
        <v>1.8080000000000001</v>
      </c>
      <c r="R54">
        <v>0</v>
      </c>
      <c r="S54">
        <f t="shared" si="4"/>
        <v>0.70347771612880772</v>
      </c>
      <c r="T54">
        <v>2.66930571019074</v>
      </c>
      <c r="U54">
        <f t="shared" si="5"/>
        <v>1.9658279940619323</v>
      </c>
    </row>
    <row r="55" spans="1:21">
      <c r="A55">
        <f t="shared" si="6"/>
        <v>54</v>
      </c>
      <c r="B55" s="2">
        <f t="shared" si="7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36">
        <v>5.3</v>
      </c>
      <c r="H55" s="5">
        <v>10</v>
      </c>
      <c r="I55" s="41" t="s">
        <v>10</v>
      </c>
      <c r="J55" s="45" t="s">
        <v>17</v>
      </c>
      <c r="K55">
        <v>1141</v>
      </c>
      <c r="L55">
        <f t="shared" si="3"/>
        <v>1</v>
      </c>
      <c r="M55">
        <v>57.669099196433656</v>
      </c>
      <c r="N55">
        <v>58.529693337041373</v>
      </c>
      <c r="O55">
        <f t="shared" si="8"/>
        <v>0</v>
      </c>
      <c r="P55">
        <f t="shared" si="9"/>
        <v>1</v>
      </c>
      <c r="Q55">
        <f t="shared" si="10"/>
        <v>1.1719999999999999</v>
      </c>
      <c r="R55">
        <v>0</v>
      </c>
      <c r="S55">
        <f t="shared" si="4"/>
        <v>0.67776897846895201</v>
      </c>
      <c r="T55">
        <v>3.1950859559679019</v>
      </c>
      <c r="U55">
        <f t="shared" si="5"/>
        <v>2.5173169774989499</v>
      </c>
    </row>
    <row r="56" spans="1:21">
      <c r="A56">
        <f t="shared" si="6"/>
        <v>55</v>
      </c>
      <c r="B56" s="2">
        <f t="shared" si="7"/>
        <v>29</v>
      </c>
      <c r="C56" s="24">
        <v>43331</v>
      </c>
      <c r="D56" s="4">
        <v>0.17386574074043892</v>
      </c>
      <c r="E56" s="5">
        <v>-8.24</v>
      </c>
      <c r="F56" s="5">
        <v>116.66</v>
      </c>
      <c r="G56" s="36">
        <v>6.3</v>
      </c>
      <c r="H56" s="5">
        <v>10</v>
      </c>
      <c r="I56" s="2" t="s">
        <v>10</v>
      </c>
      <c r="J56" s="45" t="s">
        <v>16</v>
      </c>
      <c r="K56">
        <v>770</v>
      </c>
      <c r="L56">
        <f t="shared" si="3"/>
        <v>1</v>
      </c>
      <c r="M56">
        <v>72.173831697702084</v>
      </c>
      <c r="N56">
        <v>72.863310259198542</v>
      </c>
      <c r="O56">
        <f t="shared" si="8"/>
        <v>0</v>
      </c>
      <c r="P56">
        <f t="shared" si="9"/>
        <v>1</v>
      </c>
      <c r="Q56">
        <f t="shared" si="10"/>
        <v>1.1719999999999999</v>
      </c>
      <c r="R56">
        <v>1</v>
      </c>
      <c r="S56">
        <f t="shared" si="4"/>
        <v>1.5934479017041259</v>
      </c>
      <c r="T56">
        <v>2.2560509074451076</v>
      </c>
      <c r="U56">
        <f t="shared" si="5"/>
        <v>0.66260300574098174</v>
      </c>
    </row>
    <row r="57" spans="1:21">
      <c r="A57">
        <f t="shared" si="6"/>
        <v>56</v>
      </c>
      <c r="B57" s="2">
        <f t="shared" si="7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36">
        <v>6.3</v>
      </c>
      <c r="H57" s="5">
        <v>10</v>
      </c>
      <c r="I57" s="41" t="s">
        <v>10</v>
      </c>
      <c r="J57" s="45" t="s">
        <v>19</v>
      </c>
      <c r="K57">
        <v>283</v>
      </c>
      <c r="L57">
        <f t="shared" si="3"/>
        <v>3</v>
      </c>
      <c r="M57">
        <v>88.078759906858352</v>
      </c>
      <c r="N57">
        <v>88.644616005316408</v>
      </c>
      <c r="O57">
        <f t="shared" si="8"/>
        <v>0</v>
      </c>
      <c r="P57">
        <f t="shared" si="9"/>
        <v>1</v>
      </c>
      <c r="Q57">
        <f t="shared" si="10"/>
        <v>1.8080000000000001</v>
      </c>
      <c r="R57">
        <v>0</v>
      </c>
      <c r="S57">
        <f t="shared" si="4"/>
        <v>1.8684637658265162</v>
      </c>
      <c r="T57">
        <v>2.4607884147633312</v>
      </c>
      <c r="U57">
        <f t="shared" si="5"/>
        <v>0.59232464893681502</v>
      </c>
    </row>
    <row r="58" spans="1:21">
      <c r="A58">
        <f t="shared" si="6"/>
        <v>57</v>
      </c>
      <c r="B58" s="2">
        <f t="shared" si="7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36">
        <v>6.3</v>
      </c>
      <c r="H58" s="5">
        <v>10</v>
      </c>
      <c r="I58" s="41" t="s">
        <v>10</v>
      </c>
      <c r="J58" s="45" t="s">
        <v>17</v>
      </c>
      <c r="K58">
        <v>1141</v>
      </c>
      <c r="L58">
        <f t="shared" si="3"/>
        <v>1</v>
      </c>
      <c r="M58">
        <v>60.586448333172122</v>
      </c>
      <c r="N58">
        <v>61.406170061551101</v>
      </c>
      <c r="O58">
        <f t="shared" si="8"/>
        <v>0</v>
      </c>
      <c r="P58">
        <f t="shared" si="9"/>
        <v>1</v>
      </c>
      <c r="Q58">
        <f t="shared" si="10"/>
        <v>1.1719999999999999</v>
      </c>
      <c r="R58">
        <v>0</v>
      </c>
      <c r="S58">
        <f t="shared" si="4"/>
        <v>1.9606663150237713</v>
      </c>
      <c r="T58">
        <v>3.4701063687032092</v>
      </c>
      <c r="U58">
        <f t="shared" si="5"/>
        <v>1.5094400536794379</v>
      </c>
    </row>
    <row r="59" spans="1:21">
      <c r="A59">
        <f t="shared" si="6"/>
        <v>58</v>
      </c>
      <c r="B59" s="2">
        <f t="shared" si="7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36">
        <v>5</v>
      </c>
      <c r="H59" s="5">
        <v>10</v>
      </c>
      <c r="I59" s="41" t="s">
        <v>10</v>
      </c>
      <c r="J59" s="45" t="s">
        <v>19</v>
      </c>
      <c r="K59">
        <v>283</v>
      </c>
      <c r="L59">
        <f t="shared" si="3"/>
        <v>3</v>
      </c>
      <c r="M59">
        <v>57.516438882548499</v>
      </c>
      <c r="N59">
        <v>58.379283497915054</v>
      </c>
      <c r="O59">
        <f t="shared" si="8"/>
        <v>0</v>
      </c>
      <c r="P59">
        <f t="shared" si="9"/>
        <v>1</v>
      </c>
      <c r="Q59">
        <f t="shared" si="10"/>
        <v>1.8080000000000001</v>
      </c>
      <c r="R59">
        <v>0</v>
      </c>
      <c r="S59">
        <f t="shared" si="4"/>
        <v>0.99076315554403083</v>
      </c>
      <c r="T59">
        <v>0.9765926385302176</v>
      </c>
      <c r="U59">
        <f t="shared" si="5"/>
        <v>-1.4170517013813222E-2</v>
      </c>
    </row>
    <row r="60" spans="1:21">
      <c r="A60">
        <f t="shared" si="6"/>
        <v>59</v>
      </c>
      <c r="B60" s="2">
        <f t="shared" si="7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36">
        <v>4.8</v>
      </c>
      <c r="H60" s="5">
        <v>10</v>
      </c>
      <c r="I60" s="41" t="s">
        <v>10</v>
      </c>
      <c r="J60" s="45" t="s">
        <v>13</v>
      </c>
      <c r="K60">
        <v>386</v>
      </c>
      <c r="L60">
        <f t="shared" si="3"/>
        <v>2</v>
      </c>
      <c r="M60">
        <v>235.11317602344423</v>
      </c>
      <c r="N60">
        <v>235.32574347026096</v>
      </c>
      <c r="O60">
        <f t="shared" si="8"/>
        <v>0</v>
      </c>
      <c r="P60">
        <f t="shared" si="9"/>
        <v>1</v>
      </c>
      <c r="Q60">
        <f t="shared" si="10"/>
        <v>1.6830000000000001</v>
      </c>
      <c r="R60">
        <v>0</v>
      </c>
      <c r="S60">
        <f t="shared" si="4"/>
        <v>-1.0793772678317441</v>
      </c>
      <c r="T60">
        <v>1.1287354013013495</v>
      </c>
      <c r="U60">
        <f t="shared" si="5"/>
        <v>2.2081126691330937</v>
      </c>
    </row>
    <row r="61" spans="1:21">
      <c r="A61">
        <f t="shared" si="6"/>
        <v>60</v>
      </c>
      <c r="B61" s="2">
        <f t="shared" si="7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36">
        <v>4.5</v>
      </c>
      <c r="H61" s="5">
        <v>10</v>
      </c>
      <c r="I61" s="41" t="s">
        <v>10</v>
      </c>
      <c r="J61" s="45" t="s">
        <v>19</v>
      </c>
      <c r="K61">
        <v>283</v>
      </c>
      <c r="L61">
        <f t="shared" si="3"/>
        <v>3</v>
      </c>
      <c r="M61">
        <v>97.287891794045379</v>
      </c>
      <c r="N61">
        <v>97.800480007666025</v>
      </c>
      <c r="O61">
        <f t="shared" si="8"/>
        <v>0</v>
      </c>
      <c r="P61">
        <f t="shared" si="9"/>
        <v>1</v>
      </c>
      <c r="Q61">
        <f t="shared" si="10"/>
        <v>1.8080000000000001</v>
      </c>
      <c r="R61">
        <v>0</v>
      </c>
      <c r="S61">
        <f t="shared" si="4"/>
        <v>-0.1421926437251253</v>
      </c>
      <c r="T61">
        <v>0.72176403168772996</v>
      </c>
      <c r="U61">
        <f t="shared" si="5"/>
        <v>0.86395667541285526</v>
      </c>
    </row>
    <row r="62" spans="1:21">
      <c r="A62">
        <f t="shared" si="6"/>
        <v>61</v>
      </c>
      <c r="B62" s="2">
        <f t="shared" si="7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36">
        <v>4.7</v>
      </c>
      <c r="H62" s="5">
        <v>10</v>
      </c>
      <c r="I62" s="41" t="s">
        <v>10</v>
      </c>
      <c r="J62" s="45" t="s">
        <v>13</v>
      </c>
      <c r="K62">
        <v>386</v>
      </c>
      <c r="L62">
        <f t="shared" si="3"/>
        <v>2</v>
      </c>
      <c r="M62">
        <v>246.0405833277724</v>
      </c>
      <c r="N62">
        <v>246.243717979303</v>
      </c>
      <c r="O62">
        <f t="shared" si="8"/>
        <v>0</v>
      </c>
      <c r="P62">
        <f t="shared" si="9"/>
        <v>1</v>
      </c>
      <c r="Q62">
        <f t="shared" si="10"/>
        <v>1.6830000000000001</v>
      </c>
      <c r="R62">
        <v>1</v>
      </c>
      <c r="S62">
        <f t="shared" si="4"/>
        <v>-1.2250213177715483</v>
      </c>
      <c r="T62">
        <v>7.4545047822507796E-3</v>
      </c>
      <c r="U62">
        <f t="shared" si="5"/>
        <v>1.2324758225537991</v>
      </c>
    </row>
    <row r="63" spans="1:21">
      <c r="A63">
        <f t="shared" si="6"/>
        <v>62</v>
      </c>
      <c r="B63" s="2">
        <f t="shared" si="7"/>
        <v>33</v>
      </c>
      <c r="C63" s="18">
        <v>43331</v>
      </c>
      <c r="D63" s="19">
        <v>0.97910879629629621</v>
      </c>
      <c r="E63" s="20">
        <v>-8.17</v>
      </c>
      <c r="F63" s="20">
        <v>116.51</v>
      </c>
      <c r="G63" s="36">
        <v>4.7</v>
      </c>
      <c r="H63" s="5">
        <v>10</v>
      </c>
      <c r="I63" s="2" t="s">
        <v>10</v>
      </c>
      <c r="J63" s="45" t="s">
        <v>16</v>
      </c>
      <c r="K63">
        <v>770</v>
      </c>
      <c r="L63">
        <f t="shared" si="3"/>
        <v>1</v>
      </c>
      <c r="M63">
        <v>71.029525733797968</v>
      </c>
      <c r="N63">
        <v>71.730004363364344</v>
      </c>
      <c r="O63">
        <f t="shared" si="8"/>
        <v>0</v>
      </c>
      <c r="P63">
        <f t="shared" si="9"/>
        <v>1</v>
      </c>
      <c r="Q63">
        <f t="shared" si="10"/>
        <v>1.1719999999999999</v>
      </c>
      <c r="R63">
        <v>1</v>
      </c>
      <c r="S63">
        <f t="shared" si="4"/>
        <v>-0.21291266967708689</v>
      </c>
      <c r="T63">
        <v>-1.9171990212321889E-2</v>
      </c>
      <c r="U63">
        <f t="shared" si="5"/>
        <v>0.193740679464765</v>
      </c>
    </row>
    <row r="64" spans="1:21">
      <c r="A64">
        <f t="shared" si="6"/>
        <v>63</v>
      </c>
      <c r="B64" s="2">
        <f t="shared" si="7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36">
        <v>4.7</v>
      </c>
      <c r="H64" s="5">
        <v>10</v>
      </c>
      <c r="I64" s="41" t="s">
        <v>10</v>
      </c>
      <c r="J64" s="45" t="s">
        <v>17</v>
      </c>
      <c r="K64">
        <v>1141</v>
      </c>
      <c r="L64">
        <f t="shared" si="3"/>
        <v>1</v>
      </c>
      <c r="M64">
        <v>75.443494535765566</v>
      </c>
      <c r="N64">
        <v>76.103356481617084</v>
      </c>
      <c r="O64">
        <f t="shared" si="8"/>
        <v>0</v>
      </c>
      <c r="P64">
        <f t="shared" si="9"/>
        <v>1</v>
      </c>
      <c r="Q64">
        <f t="shared" si="10"/>
        <v>1.1719999999999999</v>
      </c>
      <c r="R64">
        <v>1</v>
      </c>
      <c r="S64">
        <f t="shared" si="4"/>
        <v>-0.28638877705744692</v>
      </c>
      <c r="T64">
        <v>-1.5094051798343064E-2</v>
      </c>
      <c r="U64">
        <f t="shared" si="5"/>
        <v>0.27129472525910386</v>
      </c>
    </row>
    <row r="65" spans="1:21">
      <c r="A65">
        <f t="shared" si="6"/>
        <v>64</v>
      </c>
      <c r="B65" s="2">
        <f t="shared" si="7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36">
        <v>5.0999999999999996</v>
      </c>
      <c r="H65" s="5">
        <v>10</v>
      </c>
      <c r="I65" s="41" t="s">
        <v>10</v>
      </c>
      <c r="J65" s="45" t="s">
        <v>14</v>
      </c>
      <c r="K65">
        <v>290</v>
      </c>
      <c r="L65">
        <f t="shared" si="3"/>
        <v>3</v>
      </c>
      <c r="M65">
        <v>177.63849874835083</v>
      </c>
      <c r="N65">
        <v>177.91974662068245</v>
      </c>
      <c r="O65">
        <f t="shared" si="8"/>
        <v>0</v>
      </c>
      <c r="P65">
        <f t="shared" si="9"/>
        <v>1</v>
      </c>
      <c r="Q65">
        <f t="shared" si="10"/>
        <v>1.8080000000000001</v>
      </c>
      <c r="R65">
        <v>0</v>
      </c>
      <c r="S65">
        <f t="shared" si="4"/>
        <v>-0.33272908153138636</v>
      </c>
      <c r="T65">
        <v>1.0874845780604936</v>
      </c>
      <c r="U65">
        <f t="shared" si="5"/>
        <v>1.42021365959188</v>
      </c>
    </row>
    <row r="66" spans="1:21">
      <c r="A66">
        <f t="shared" si="6"/>
        <v>65</v>
      </c>
      <c r="B66" s="2">
        <f t="shared" si="7"/>
        <v>34</v>
      </c>
      <c r="C66" s="18">
        <v>43332</v>
      </c>
      <c r="D66" s="19">
        <v>6.2870370370370368E-2</v>
      </c>
      <c r="E66" s="20">
        <v>-8.27</v>
      </c>
      <c r="F66" s="20">
        <v>116.73</v>
      </c>
      <c r="G66" s="36">
        <v>5.0999999999999996</v>
      </c>
      <c r="H66" s="20">
        <v>10</v>
      </c>
      <c r="I66" s="2" t="s">
        <v>10</v>
      </c>
      <c r="J66" s="45" t="s">
        <v>16</v>
      </c>
      <c r="K66">
        <v>770</v>
      </c>
      <c r="L66">
        <f t="shared" si="3"/>
        <v>1</v>
      </c>
      <c r="M66">
        <v>74.49554657433103</v>
      </c>
      <c r="N66">
        <v>75.163731010430311</v>
      </c>
      <c r="O66">
        <f t="shared" ref="O66:O97" si="11">IF(H66&lt;15,0,1)</f>
        <v>0</v>
      </c>
      <c r="P66">
        <f t="shared" ref="P66:P97" si="12">IF(I66="reverse",1,0)</f>
        <v>1</v>
      </c>
      <c r="Q66">
        <f t="shared" ref="Q66:Q97" si="13">IF(L66=1,$W$8,IF(L66=2,$W$9,$W$10))</f>
        <v>1.1719999999999999</v>
      </c>
      <c r="R66">
        <v>1</v>
      </c>
      <c r="S66">
        <f t="shared" si="4"/>
        <v>0.12205998820900499</v>
      </c>
      <c r="T66">
        <v>-0.15882871284717354</v>
      </c>
      <c r="U66">
        <f t="shared" si="5"/>
        <v>-0.28088870105617852</v>
      </c>
    </row>
    <row r="67" spans="1:21">
      <c r="A67">
        <f t="shared" si="6"/>
        <v>66</v>
      </c>
      <c r="B67" s="2">
        <f t="shared" si="7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36">
        <v>5.0999999999999996</v>
      </c>
      <c r="H67" s="5">
        <v>10</v>
      </c>
      <c r="I67" s="41" t="s">
        <v>10</v>
      </c>
      <c r="J67" s="45" t="s">
        <v>19</v>
      </c>
      <c r="K67">
        <v>283</v>
      </c>
      <c r="L67">
        <f t="shared" ref="L67:L130" si="14">IF(K67&gt;600,1,IF(AND(K67&lt;=600,K67&gt;300),2,3))</f>
        <v>3</v>
      </c>
      <c r="M67">
        <v>79.652811637316844</v>
      </c>
      <c r="N67">
        <v>80.278081701856067</v>
      </c>
      <c r="O67">
        <f t="shared" si="11"/>
        <v>0</v>
      </c>
      <c r="P67">
        <f t="shared" si="12"/>
        <v>1</v>
      </c>
      <c r="Q67">
        <f t="shared" si="13"/>
        <v>1.8080000000000001</v>
      </c>
      <c r="R67">
        <v>0</v>
      </c>
      <c r="S67">
        <f t="shared" ref="S67:S130" si="15">$W$2*G67+$W$3*N67-LN(N67+($W$4*EXP($W$5*G67)))+$W$6*(H67-15)*O67+$W$7*P67+Q67</f>
        <v>0.67232221412604298</v>
      </c>
      <c r="T67">
        <v>1.2751468780172768</v>
      </c>
      <c r="U67">
        <f t="shared" ref="U67:U130" si="16">T67-S67</f>
        <v>0.60282466389123379</v>
      </c>
    </row>
    <row r="68" spans="1:21">
      <c r="A68">
        <f t="shared" ref="A68:A131" si="17">A67+1</f>
        <v>67</v>
      </c>
      <c r="B68" s="2">
        <f t="shared" si="7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36">
        <v>5.0999999999999996</v>
      </c>
      <c r="H68" s="5">
        <v>10</v>
      </c>
      <c r="I68" s="41" t="s">
        <v>10</v>
      </c>
      <c r="J68" s="45" t="s">
        <v>17</v>
      </c>
      <c r="K68">
        <v>1141</v>
      </c>
      <c r="L68">
        <f t="shared" si="14"/>
        <v>1</v>
      </c>
      <c r="M68">
        <v>54.678992298396473</v>
      </c>
      <c r="N68">
        <v>55.585899280016157</v>
      </c>
      <c r="O68">
        <f t="shared" si="11"/>
        <v>0</v>
      </c>
      <c r="P68">
        <f t="shared" si="12"/>
        <v>1</v>
      </c>
      <c r="Q68">
        <f t="shared" si="13"/>
        <v>1.1719999999999999</v>
      </c>
      <c r="R68">
        <v>0</v>
      </c>
      <c r="S68">
        <f t="shared" si="15"/>
        <v>0.52944821133330144</v>
      </c>
      <c r="T68">
        <v>0.96631526158019454</v>
      </c>
      <c r="U68">
        <f t="shared" si="16"/>
        <v>0.4368670502468931</v>
      </c>
    </row>
    <row r="69" spans="1:21">
      <c r="A69">
        <f t="shared" si="17"/>
        <v>68</v>
      </c>
      <c r="B69" s="2">
        <f t="shared" si="7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36">
        <v>5</v>
      </c>
      <c r="H69" s="5">
        <v>10</v>
      </c>
      <c r="I69" s="41" t="s">
        <v>10</v>
      </c>
      <c r="J69" s="45" t="s">
        <v>14</v>
      </c>
      <c r="K69">
        <v>290</v>
      </c>
      <c r="L69">
        <f t="shared" si="14"/>
        <v>3</v>
      </c>
      <c r="M69">
        <v>206.86371328942161</v>
      </c>
      <c r="N69">
        <v>207.10527727677058</v>
      </c>
      <c r="O69">
        <f t="shared" si="11"/>
        <v>0</v>
      </c>
      <c r="P69">
        <f t="shared" si="12"/>
        <v>1</v>
      </c>
      <c r="Q69">
        <f t="shared" si="13"/>
        <v>1.8080000000000001</v>
      </c>
      <c r="R69">
        <v>1</v>
      </c>
      <c r="S69">
        <f t="shared" si="15"/>
        <v>-0.61481974555755836</v>
      </c>
      <c r="T69">
        <v>0.45203932689941595</v>
      </c>
      <c r="U69">
        <f t="shared" si="16"/>
        <v>1.0668590724569742</v>
      </c>
    </row>
    <row r="70" spans="1:21">
      <c r="A70">
        <f t="shared" si="17"/>
        <v>69</v>
      </c>
      <c r="B70" s="2">
        <f t="shared" si="7"/>
        <v>36</v>
      </c>
      <c r="C70" s="18">
        <v>43336</v>
      </c>
      <c r="D70" s="19">
        <v>4.763888888888889E-2</v>
      </c>
      <c r="E70" s="20">
        <v>-8.26</v>
      </c>
      <c r="F70" s="20">
        <v>116.14</v>
      </c>
      <c r="G70" s="36">
        <v>4.4000000000000004</v>
      </c>
      <c r="H70" s="20">
        <v>10</v>
      </c>
      <c r="I70" s="2" t="s">
        <v>10</v>
      </c>
      <c r="J70" s="45" t="s">
        <v>16</v>
      </c>
      <c r="K70">
        <v>770</v>
      </c>
      <c r="L70">
        <f t="shared" si="14"/>
        <v>1</v>
      </c>
      <c r="M70">
        <v>58.306907947928202</v>
      </c>
      <c r="N70">
        <v>59.158224402429227</v>
      </c>
      <c r="O70">
        <f t="shared" si="11"/>
        <v>0</v>
      </c>
      <c r="P70">
        <f t="shared" si="12"/>
        <v>1</v>
      </c>
      <c r="Q70">
        <f t="shared" si="13"/>
        <v>1.1719999999999999</v>
      </c>
      <c r="R70">
        <v>1</v>
      </c>
      <c r="S70">
        <f t="shared" si="15"/>
        <v>-0.26377451033416799</v>
      </c>
      <c r="T70">
        <v>-0.26850209968746785</v>
      </c>
      <c r="U70">
        <f t="shared" si="16"/>
        <v>-4.7275893532998658E-3</v>
      </c>
    </row>
    <row r="71" spans="1:21">
      <c r="A71">
        <f t="shared" si="17"/>
        <v>70</v>
      </c>
      <c r="B71" s="2">
        <f t="shared" ref="B71:B134" si="18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36">
        <v>4.4000000000000004</v>
      </c>
      <c r="H71" s="5">
        <v>10</v>
      </c>
      <c r="I71" s="41" t="s">
        <v>10</v>
      </c>
      <c r="J71" s="45" t="s">
        <v>19</v>
      </c>
      <c r="K71">
        <v>283</v>
      </c>
      <c r="L71">
        <f t="shared" si="14"/>
        <v>3</v>
      </c>
      <c r="M71">
        <v>143.68082400490985</v>
      </c>
      <c r="N71">
        <v>144.02839715392892</v>
      </c>
      <c r="O71">
        <f t="shared" si="11"/>
        <v>0</v>
      </c>
      <c r="P71">
        <f t="shared" si="12"/>
        <v>1</v>
      </c>
      <c r="Q71">
        <f t="shared" si="13"/>
        <v>1.8080000000000001</v>
      </c>
      <c r="R71">
        <v>1</v>
      </c>
      <c r="S71">
        <f t="shared" si="15"/>
        <v>-0.69643238588248901</v>
      </c>
      <c r="T71">
        <v>-1.9284265311090236</v>
      </c>
      <c r="U71">
        <f t="shared" si="16"/>
        <v>-1.2319941452265346</v>
      </c>
    </row>
    <row r="72" spans="1:21">
      <c r="A72">
        <f t="shared" si="17"/>
        <v>71</v>
      </c>
      <c r="B72" s="2">
        <f t="shared" si="18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36">
        <v>4.4000000000000004</v>
      </c>
      <c r="H72" s="5">
        <v>10</v>
      </c>
      <c r="I72" s="41" t="s">
        <v>10</v>
      </c>
      <c r="J72" s="45" t="s">
        <v>17</v>
      </c>
      <c r="K72">
        <v>1141</v>
      </c>
      <c r="L72">
        <f t="shared" si="14"/>
        <v>1</v>
      </c>
      <c r="M72">
        <v>98.06698322263297</v>
      </c>
      <c r="N72">
        <v>98.575520279571322</v>
      </c>
      <c r="O72">
        <f t="shared" si="11"/>
        <v>0</v>
      </c>
      <c r="P72">
        <f t="shared" si="12"/>
        <v>1</v>
      </c>
      <c r="Q72">
        <f t="shared" si="13"/>
        <v>1.1719999999999999</v>
      </c>
      <c r="R72">
        <v>1</v>
      </c>
      <c r="S72">
        <f t="shared" si="15"/>
        <v>-0.87865616143182357</v>
      </c>
      <c r="T72">
        <v>-1.4070602672812351</v>
      </c>
      <c r="U72">
        <f t="shared" si="16"/>
        <v>-0.52840410584941155</v>
      </c>
    </row>
    <row r="73" spans="1:21">
      <c r="A73">
        <f t="shared" si="17"/>
        <v>72</v>
      </c>
      <c r="B73" s="2">
        <f t="shared" si="18"/>
        <v>37</v>
      </c>
      <c r="C73" s="18">
        <v>43337</v>
      </c>
      <c r="D73" s="19">
        <v>0.46883101851851849</v>
      </c>
      <c r="E73" s="20">
        <v>-8.2799999999999994</v>
      </c>
      <c r="F73" s="20">
        <v>116.16</v>
      </c>
      <c r="G73" s="36">
        <v>3.5</v>
      </c>
      <c r="H73" s="20">
        <v>10</v>
      </c>
      <c r="I73" s="2" t="s">
        <v>10</v>
      </c>
      <c r="J73" s="45" t="s">
        <v>16</v>
      </c>
      <c r="K73">
        <v>770</v>
      </c>
      <c r="L73">
        <f t="shared" si="14"/>
        <v>1</v>
      </c>
      <c r="M73">
        <v>55.597799097160255</v>
      </c>
      <c r="N73">
        <v>56.489957199914691</v>
      </c>
      <c r="O73">
        <f t="shared" si="11"/>
        <v>0</v>
      </c>
      <c r="P73">
        <f t="shared" si="12"/>
        <v>1</v>
      </c>
      <c r="Q73">
        <f t="shared" si="13"/>
        <v>1.1719999999999999</v>
      </c>
      <c r="R73">
        <v>1</v>
      </c>
      <c r="S73">
        <f t="shared" si="15"/>
        <v>-1.0431027102893198</v>
      </c>
      <c r="T73">
        <v>-1.4993209794835003</v>
      </c>
      <c r="U73">
        <f t="shared" si="16"/>
        <v>-0.45621826919418051</v>
      </c>
    </row>
    <row r="74" spans="1:21">
      <c r="A74">
        <f t="shared" si="17"/>
        <v>73</v>
      </c>
      <c r="B74" s="2">
        <f t="shared" si="18"/>
        <v>38</v>
      </c>
      <c r="C74" s="18">
        <v>43338</v>
      </c>
      <c r="D74" s="19">
        <v>6.4780092592592597E-2</v>
      </c>
      <c r="E74" s="20">
        <v>-8.5500000000000007</v>
      </c>
      <c r="F74" s="20">
        <v>116.93</v>
      </c>
      <c r="G74" s="36">
        <v>5.4</v>
      </c>
      <c r="H74" s="20">
        <v>11</v>
      </c>
      <c r="I74" s="2" t="s">
        <v>10</v>
      </c>
      <c r="J74" s="45" t="s">
        <v>16</v>
      </c>
      <c r="K74">
        <v>770</v>
      </c>
      <c r="L74">
        <f t="shared" si="14"/>
        <v>1</v>
      </c>
      <c r="M74">
        <v>76.217387166239277</v>
      </c>
      <c r="N74">
        <v>77.007078287962699</v>
      </c>
      <c r="O74">
        <f t="shared" si="11"/>
        <v>0</v>
      </c>
      <c r="P74">
        <f t="shared" si="12"/>
        <v>1</v>
      </c>
      <c r="Q74">
        <f t="shared" si="13"/>
        <v>1.1719999999999999</v>
      </c>
      <c r="R74">
        <v>0</v>
      </c>
      <c r="S74">
        <f t="shared" si="15"/>
        <v>0.39958049489260672</v>
      </c>
      <c r="T74">
        <v>0.95575209703341568</v>
      </c>
      <c r="U74">
        <f t="shared" si="16"/>
        <v>0.55617160214080896</v>
      </c>
    </row>
    <row r="75" spans="1:21">
      <c r="A75">
        <f t="shared" si="17"/>
        <v>74</v>
      </c>
      <c r="B75" s="2">
        <f t="shared" si="18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36">
        <v>5.4</v>
      </c>
      <c r="H75" s="5">
        <v>11</v>
      </c>
      <c r="I75" s="41" t="s">
        <v>10</v>
      </c>
      <c r="J75" s="45" t="s">
        <v>19</v>
      </c>
      <c r="K75">
        <v>283</v>
      </c>
      <c r="L75">
        <f t="shared" si="14"/>
        <v>3</v>
      </c>
      <c r="M75">
        <v>54.101593478657179</v>
      </c>
      <c r="N75">
        <v>55.208535725283284</v>
      </c>
      <c r="O75">
        <f t="shared" si="11"/>
        <v>0</v>
      </c>
      <c r="P75">
        <f t="shared" si="12"/>
        <v>1</v>
      </c>
      <c r="Q75">
        <f t="shared" si="13"/>
        <v>1.8080000000000001</v>
      </c>
      <c r="R75">
        <v>0</v>
      </c>
      <c r="S75">
        <f t="shared" si="15"/>
        <v>1.5165080925464127</v>
      </c>
      <c r="T75">
        <v>2.2365759593539605</v>
      </c>
      <c r="U75">
        <f t="shared" si="16"/>
        <v>0.72006786680754775</v>
      </c>
    </row>
    <row r="76" spans="1:21">
      <c r="A76">
        <f t="shared" si="17"/>
        <v>75</v>
      </c>
      <c r="B76" s="2">
        <f t="shared" si="18"/>
        <v>38</v>
      </c>
      <c r="C76" s="3">
        <v>43338</v>
      </c>
      <c r="D76" s="4">
        <v>6.4780092592592597E-2</v>
      </c>
      <c r="E76" s="20">
        <v>-8.5500000000000007</v>
      </c>
      <c r="F76" s="20">
        <v>116.93</v>
      </c>
      <c r="G76" s="36">
        <v>5.4</v>
      </c>
      <c r="H76" s="5">
        <v>11</v>
      </c>
      <c r="I76" s="41" t="s">
        <v>10</v>
      </c>
      <c r="J76" s="45" t="s">
        <v>17</v>
      </c>
      <c r="K76">
        <v>1141</v>
      </c>
      <c r="L76">
        <f t="shared" si="14"/>
        <v>1</v>
      </c>
      <c r="M76">
        <v>21.567600659509985</v>
      </c>
      <c r="N76">
        <v>24.210770293571734</v>
      </c>
      <c r="O76">
        <f t="shared" si="11"/>
        <v>0</v>
      </c>
      <c r="P76">
        <f t="shared" si="12"/>
        <v>1</v>
      </c>
      <c r="Q76">
        <f t="shared" si="13"/>
        <v>1.1719999999999999</v>
      </c>
      <c r="R76">
        <v>0</v>
      </c>
      <c r="S76">
        <f t="shared" si="15"/>
        <v>2.6768133678329851</v>
      </c>
      <c r="T76">
        <v>2.6767960388294698</v>
      </c>
      <c r="U76">
        <f t="shared" si="16"/>
        <v>-1.7329003515254016E-5</v>
      </c>
    </row>
    <row r="77" spans="1:21">
      <c r="A77">
        <f t="shared" si="17"/>
        <v>76</v>
      </c>
      <c r="B77" s="2">
        <f t="shared" si="18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36">
        <v>4.8</v>
      </c>
      <c r="H77" s="5">
        <v>10</v>
      </c>
      <c r="I77" s="41" t="s">
        <v>10</v>
      </c>
      <c r="J77" s="45" t="s">
        <v>19</v>
      </c>
      <c r="K77">
        <v>283</v>
      </c>
      <c r="L77">
        <f t="shared" si="14"/>
        <v>3</v>
      </c>
      <c r="M77">
        <v>150.88889346446217</v>
      </c>
      <c r="N77">
        <v>151.21990004933153</v>
      </c>
      <c r="O77">
        <f t="shared" si="11"/>
        <v>0</v>
      </c>
      <c r="P77">
        <f t="shared" si="12"/>
        <v>1</v>
      </c>
      <c r="Q77">
        <f t="shared" si="13"/>
        <v>1.8080000000000001</v>
      </c>
      <c r="R77">
        <v>1</v>
      </c>
      <c r="S77">
        <f t="shared" si="15"/>
        <v>-0.3997131496932862</v>
      </c>
      <c r="T77">
        <v>-0.89930605152031051</v>
      </c>
      <c r="U77">
        <f t="shared" si="16"/>
        <v>-0.49959290182702432</v>
      </c>
    </row>
    <row r="78" spans="1:21">
      <c r="A78">
        <f t="shared" si="17"/>
        <v>77</v>
      </c>
      <c r="B78" s="2">
        <f t="shared" si="18"/>
        <v>39</v>
      </c>
      <c r="C78" s="3">
        <v>43343</v>
      </c>
      <c r="D78" s="4">
        <v>0.1092013888888889</v>
      </c>
      <c r="E78" s="20">
        <v>-8.3699999999999992</v>
      </c>
      <c r="F78" s="20">
        <v>116.06</v>
      </c>
      <c r="G78" s="36">
        <v>4.8</v>
      </c>
      <c r="H78" s="5">
        <v>10</v>
      </c>
      <c r="I78" s="41" t="s">
        <v>10</v>
      </c>
      <c r="J78" s="45" t="s">
        <v>17</v>
      </c>
      <c r="K78">
        <v>1141</v>
      </c>
      <c r="L78">
        <f t="shared" si="14"/>
        <v>1</v>
      </c>
      <c r="M78">
        <v>100.06290501663518</v>
      </c>
      <c r="N78">
        <v>100.56134923701131</v>
      </c>
      <c r="O78">
        <f t="shared" si="11"/>
        <v>0</v>
      </c>
      <c r="P78">
        <f t="shared" si="12"/>
        <v>1</v>
      </c>
      <c r="Q78">
        <f t="shared" si="13"/>
        <v>1.1719999999999999</v>
      </c>
      <c r="R78">
        <v>1</v>
      </c>
      <c r="S78">
        <f t="shared" si="15"/>
        <v>-0.53528604940255287</v>
      </c>
      <c r="T78">
        <v>-0.41601254384455766</v>
      </c>
      <c r="U78">
        <f t="shared" si="16"/>
        <v>0.11927350555799521</v>
      </c>
    </row>
    <row r="79" spans="1:21">
      <c r="A79">
        <f t="shared" si="17"/>
        <v>78</v>
      </c>
      <c r="B79" s="2">
        <f t="shared" si="18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36">
        <v>4</v>
      </c>
      <c r="H79" s="5">
        <v>10</v>
      </c>
      <c r="I79" s="41" t="s">
        <v>10</v>
      </c>
      <c r="J79" s="45" t="s">
        <v>14</v>
      </c>
      <c r="K79">
        <v>290</v>
      </c>
      <c r="L79">
        <f t="shared" si="14"/>
        <v>3</v>
      </c>
      <c r="M79">
        <v>167.64476863286811</v>
      </c>
      <c r="N79">
        <v>167.94275349049116</v>
      </c>
      <c r="O79">
        <f t="shared" si="11"/>
        <v>0</v>
      </c>
      <c r="P79">
        <f t="shared" si="12"/>
        <v>1</v>
      </c>
      <c r="Q79">
        <f t="shared" si="13"/>
        <v>1.8080000000000001</v>
      </c>
      <c r="R79">
        <v>0</v>
      </c>
      <c r="S79">
        <f t="shared" si="15"/>
        <v>-1.2311611022903006</v>
      </c>
      <c r="T79">
        <v>-1.8388457248580539</v>
      </c>
      <c r="U79">
        <f t="shared" si="16"/>
        <v>-0.60768462256775324</v>
      </c>
    </row>
    <row r="80" spans="1:21">
      <c r="A80">
        <f t="shared" si="17"/>
        <v>79</v>
      </c>
      <c r="B80" s="2">
        <f t="shared" si="18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36">
        <v>4</v>
      </c>
      <c r="H80" s="5">
        <v>10</v>
      </c>
      <c r="I80" s="41" t="s">
        <v>10</v>
      </c>
      <c r="J80" s="45" t="s">
        <v>17</v>
      </c>
      <c r="K80">
        <v>1141</v>
      </c>
      <c r="L80">
        <f t="shared" si="14"/>
        <v>1</v>
      </c>
      <c r="M80">
        <v>63.28816253904116</v>
      </c>
      <c r="N80">
        <v>64.073329221822803</v>
      </c>
      <c r="O80">
        <f t="shared" si="11"/>
        <v>0</v>
      </c>
      <c r="P80">
        <f t="shared" si="12"/>
        <v>1</v>
      </c>
      <c r="Q80">
        <f t="shared" si="13"/>
        <v>1.1719999999999999</v>
      </c>
      <c r="R80">
        <v>0</v>
      </c>
      <c r="S80">
        <f t="shared" si="15"/>
        <v>-0.73460018833023444</v>
      </c>
      <c r="T80">
        <v>-1.2842421191342324</v>
      </c>
      <c r="U80">
        <f t="shared" si="16"/>
        <v>-0.54964193080399792</v>
      </c>
    </row>
    <row r="81" spans="1:21">
      <c r="A81">
        <f t="shared" si="17"/>
        <v>80</v>
      </c>
      <c r="B81" s="2">
        <f t="shared" si="18"/>
        <v>41</v>
      </c>
      <c r="C81" s="25">
        <v>43346</v>
      </c>
      <c r="D81" s="26">
        <v>0.8206134259259259</v>
      </c>
      <c r="E81" s="27">
        <v>-8.2799999999999994</v>
      </c>
      <c r="F81" s="27">
        <v>116.12</v>
      </c>
      <c r="G81" s="36">
        <v>3.8</v>
      </c>
      <c r="H81" s="27">
        <v>12</v>
      </c>
      <c r="I81" s="2" t="s">
        <v>10</v>
      </c>
      <c r="J81" s="45" t="s">
        <v>16</v>
      </c>
      <c r="K81">
        <v>770</v>
      </c>
      <c r="L81">
        <f t="shared" si="14"/>
        <v>1</v>
      </c>
      <c r="M81">
        <v>56.817893431278847</v>
      </c>
      <c r="N81">
        <v>58.071275291387906</v>
      </c>
      <c r="O81">
        <f t="shared" si="11"/>
        <v>0</v>
      </c>
      <c r="P81">
        <f t="shared" si="12"/>
        <v>1</v>
      </c>
      <c r="Q81">
        <f t="shared" si="13"/>
        <v>1.1719999999999999</v>
      </c>
      <c r="R81">
        <v>1</v>
      </c>
      <c r="S81">
        <f t="shared" si="15"/>
        <v>-0.80297313745571719</v>
      </c>
      <c r="T81">
        <v>-1.4579037838127133</v>
      </c>
      <c r="U81">
        <f t="shared" si="16"/>
        <v>-0.65493064635699616</v>
      </c>
    </row>
    <row r="82" spans="1:21">
      <c r="A82">
        <f t="shared" si="17"/>
        <v>81</v>
      </c>
      <c r="B82" s="2">
        <f t="shared" si="18"/>
        <v>42</v>
      </c>
      <c r="C82" s="25">
        <v>43347</v>
      </c>
      <c r="D82" s="26">
        <v>0.43399305555794854</v>
      </c>
      <c r="E82" s="5">
        <v>-8.49</v>
      </c>
      <c r="F82" s="5">
        <v>116.93</v>
      </c>
      <c r="G82" s="36">
        <v>3.8</v>
      </c>
      <c r="H82" s="5">
        <v>10</v>
      </c>
      <c r="I82" s="2" t="s">
        <v>10</v>
      </c>
      <c r="J82" s="45" t="s">
        <v>16</v>
      </c>
      <c r="K82">
        <v>770</v>
      </c>
      <c r="L82">
        <f t="shared" si="14"/>
        <v>1</v>
      </c>
      <c r="M82">
        <v>78.572321998070137</v>
      </c>
      <c r="N82">
        <v>79.206122138180817</v>
      </c>
      <c r="O82">
        <f t="shared" si="11"/>
        <v>0</v>
      </c>
      <c r="P82">
        <f t="shared" si="12"/>
        <v>1</v>
      </c>
      <c r="Q82">
        <f t="shared" si="13"/>
        <v>1.1719999999999999</v>
      </c>
      <c r="R82">
        <v>0</v>
      </c>
      <c r="S82">
        <f t="shared" si="15"/>
        <v>-1.1617415183789619</v>
      </c>
      <c r="T82">
        <v>-2.2168979655560723</v>
      </c>
      <c r="U82">
        <f t="shared" si="16"/>
        <v>-1.0551564471771104</v>
      </c>
    </row>
    <row r="83" spans="1:21">
      <c r="A83">
        <f t="shared" si="17"/>
        <v>82</v>
      </c>
      <c r="B83" s="2">
        <f t="shared" si="18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36">
        <v>5</v>
      </c>
      <c r="H83" s="5">
        <v>10</v>
      </c>
      <c r="I83" s="41" t="s">
        <v>10</v>
      </c>
      <c r="J83" s="45" t="s">
        <v>14</v>
      </c>
      <c r="K83">
        <v>290</v>
      </c>
      <c r="L83">
        <f t="shared" si="14"/>
        <v>3</v>
      </c>
      <c r="M83">
        <v>148.74898529807919</v>
      </c>
      <c r="N83">
        <v>149.08474310675851</v>
      </c>
      <c r="O83">
        <f t="shared" si="11"/>
        <v>0</v>
      </c>
      <c r="P83">
        <f t="shared" si="12"/>
        <v>1</v>
      </c>
      <c r="Q83">
        <f t="shared" si="13"/>
        <v>1.8080000000000001</v>
      </c>
      <c r="R83">
        <v>0</v>
      </c>
      <c r="S83">
        <f t="shared" si="15"/>
        <v>-0.20145678612850015</v>
      </c>
      <c r="T83">
        <v>0.96987826692249235</v>
      </c>
      <c r="U83">
        <f t="shared" si="16"/>
        <v>1.1713350530509925</v>
      </c>
    </row>
    <row r="84" spans="1:21">
      <c r="A84">
        <f t="shared" si="17"/>
        <v>83</v>
      </c>
      <c r="B84" s="2">
        <f t="shared" si="18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36">
        <v>4.9000000000000004</v>
      </c>
      <c r="H84" s="5">
        <v>10</v>
      </c>
      <c r="I84" s="41" t="s">
        <v>10</v>
      </c>
      <c r="J84" s="45" t="s">
        <v>15</v>
      </c>
      <c r="K84">
        <v>210</v>
      </c>
      <c r="L84">
        <f t="shared" si="14"/>
        <v>3</v>
      </c>
      <c r="M84">
        <v>70.821365178451273</v>
      </c>
      <c r="N84">
        <v>71.523882485080122</v>
      </c>
      <c r="O84">
        <f t="shared" si="11"/>
        <v>0</v>
      </c>
      <c r="P84">
        <f t="shared" si="12"/>
        <v>1</v>
      </c>
      <c r="Q84">
        <f t="shared" si="13"/>
        <v>1.8080000000000001</v>
      </c>
      <c r="R84">
        <v>1</v>
      </c>
      <c r="S84">
        <f t="shared" si="15"/>
        <v>0.62224722445076663</v>
      </c>
      <c r="T84">
        <v>-0.2273457284088411</v>
      </c>
      <c r="U84">
        <f t="shared" si="16"/>
        <v>-0.84959295285960779</v>
      </c>
    </row>
    <row r="85" spans="1:21">
      <c r="A85">
        <f t="shared" si="17"/>
        <v>84</v>
      </c>
      <c r="B85" s="2">
        <f t="shared" si="18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36">
        <v>4.9000000000000004</v>
      </c>
      <c r="H85" s="5">
        <v>10</v>
      </c>
      <c r="I85" s="41" t="s">
        <v>10</v>
      </c>
      <c r="J85" s="45" t="s">
        <v>19</v>
      </c>
      <c r="K85">
        <v>283</v>
      </c>
      <c r="L85">
        <f t="shared" si="14"/>
        <v>3</v>
      </c>
      <c r="M85">
        <v>87.409156199622487</v>
      </c>
      <c r="N85">
        <v>87.979319089942962</v>
      </c>
      <c r="O85">
        <f t="shared" si="11"/>
        <v>0</v>
      </c>
      <c r="P85">
        <f t="shared" si="12"/>
        <v>1</v>
      </c>
      <c r="Q85">
        <f t="shared" si="13"/>
        <v>1.8080000000000001</v>
      </c>
      <c r="R85">
        <v>0</v>
      </c>
      <c r="S85">
        <f t="shared" si="15"/>
        <v>0.36064662926634439</v>
      </c>
      <c r="T85">
        <v>0.15447589886435154</v>
      </c>
      <c r="U85">
        <f t="shared" si="16"/>
        <v>-0.20617073040199285</v>
      </c>
    </row>
    <row r="86" spans="1:21">
      <c r="A86">
        <f t="shared" si="17"/>
        <v>85</v>
      </c>
      <c r="B86" s="2">
        <f t="shared" si="18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36">
        <v>4.7</v>
      </c>
      <c r="H86" s="5">
        <v>5</v>
      </c>
      <c r="I86" s="41" t="s">
        <v>10</v>
      </c>
      <c r="J86" s="45" t="s">
        <v>14</v>
      </c>
      <c r="K86">
        <v>290</v>
      </c>
      <c r="L86">
        <f t="shared" si="14"/>
        <v>3</v>
      </c>
      <c r="M86">
        <v>196.8111840223722</v>
      </c>
      <c r="N86">
        <v>196.87468642841836</v>
      </c>
      <c r="O86">
        <f t="shared" si="11"/>
        <v>0</v>
      </c>
      <c r="P86">
        <f t="shared" si="12"/>
        <v>1</v>
      </c>
      <c r="Q86">
        <f t="shared" si="13"/>
        <v>1.8080000000000001</v>
      </c>
      <c r="R86">
        <v>1</v>
      </c>
      <c r="S86">
        <f t="shared" si="15"/>
        <v>-0.81582341877016229</v>
      </c>
      <c r="T86">
        <v>-0.45038657833528351</v>
      </c>
      <c r="U86">
        <f t="shared" si="16"/>
        <v>0.36543684043487878</v>
      </c>
    </row>
    <row r="87" spans="1:21">
      <c r="A87">
        <f t="shared" si="17"/>
        <v>86</v>
      </c>
      <c r="B87" s="2">
        <f t="shared" si="18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36">
        <v>4.7</v>
      </c>
      <c r="H87" s="5">
        <v>5</v>
      </c>
      <c r="I87" s="41" t="s">
        <v>10</v>
      </c>
      <c r="J87" s="45" t="s">
        <v>15</v>
      </c>
      <c r="K87">
        <v>210</v>
      </c>
      <c r="L87">
        <f t="shared" si="14"/>
        <v>3</v>
      </c>
      <c r="M87">
        <v>71.928133474305866</v>
      </c>
      <c r="N87">
        <v>72.101708614273207</v>
      </c>
      <c r="O87">
        <f t="shared" si="11"/>
        <v>0</v>
      </c>
      <c r="P87">
        <f t="shared" si="12"/>
        <v>1</v>
      </c>
      <c r="Q87">
        <f t="shared" si="13"/>
        <v>1.8080000000000001</v>
      </c>
      <c r="R87">
        <v>1</v>
      </c>
      <c r="S87">
        <f t="shared" si="15"/>
        <v>0.41665295808648395</v>
      </c>
      <c r="T87">
        <v>4.0543544605548827E-2</v>
      </c>
      <c r="U87">
        <f t="shared" si="16"/>
        <v>-0.37610941348093513</v>
      </c>
    </row>
    <row r="88" spans="1:21">
      <c r="A88">
        <f t="shared" si="17"/>
        <v>87</v>
      </c>
      <c r="B88" s="2">
        <f t="shared" si="18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36">
        <v>4.7</v>
      </c>
      <c r="H88" s="5">
        <v>5</v>
      </c>
      <c r="I88" s="41" t="s">
        <v>10</v>
      </c>
      <c r="J88" s="45" t="s">
        <v>19</v>
      </c>
      <c r="K88">
        <v>283</v>
      </c>
      <c r="L88">
        <f t="shared" si="14"/>
        <v>3</v>
      </c>
      <c r="M88">
        <v>100.73119085035158</v>
      </c>
      <c r="N88">
        <v>100.85520715426622</v>
      </c>
      <c r="O88">
        <f t="shared" si="11"/>
        <v>0</v>
      </c>
      <c r="P88">
        <f t="shared" si="12"/>
        <v>1</v>
      </c>
      <c r="Q88">
        <f t="shared" si="13"/>
        <v>1.8080000000000001</v>
      </c>
      <c r="R88">
        <v>1</v>
      </c>
      <c r="S88">
        <f t="shared" si="15"/>
        <v>4.3522163536668934E-3</v>
      </c>
      <c r="T88">
        <v>0.20340281849192482</v>
      </c>
      <c r="U88">
        <f t="shared" si="16"/>
        <v>0.19905060213825793</v>
      </c>
    </row>
    <row r="89" spans="1:21">
      <c r="A89">
        <f t="shared" si="17"/>
        <v>88</v>
      </c>
      <c r="B89" s="2">
        <f t="shared" si="18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36">
        <v>4.9000000000000004</v>
      </c>
      <c r="H89" s="5">
        <v>10</v>
      </c>
      <c r="I89" s="41" t="s">
        <v>10</v>
      </c>
      <c r="J89" s="45" t="s">
        <v>14</v>
      </c>
      <c r="K89">
        <v>290</v>
      </c>
      <c r="L89">
        <f t="shared" si="14"/>
        <v>3</v>
      </c>
      <c r="M89">
        <v>193.95907906707598</v>
      </c>
      <c r="N89">
        <v>194.21669431989679</v>
      </c>
      <c r="O89">
        <f t="shared" si="11"/>
        <v>0</v>
      </c>
      <c r="P89">
        <f t="shared" si="12"/>
        <v>1</v>
      </c>
      <c r="Q89">
        <f t="shared" si="13"/>
        <v>1.8080000000000001</v>
      </c>
      <c r="R89">
        <v>0</v>
      </c>
      <c r="S89">
        <f t="shared" si="15"/>
        <v>-0.62212369508483056</v>
      </c>
      <c r="T89">
        <v>-0.42388868674518576</v>
      </c>
      <c r="U89">
        <f t="shared" si="16"/>
        <v>0.1982350083396448</v>
      </c>
    </row>
    <row r="90" spans="1:21">
      <c r="A90">
        <f t="shared" si="17"/>
        <v>89</v>
      </c>
      <c r="B90" s="2">
        <f t="shared" si="18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36">
        <v>4.9000000000000004</v>
      </c>
      <c r="H90" s="5">
        <v>10</v>
      </c>
      <c r="I90" s="41" t="s">
        <v>10</v>
      </c>
      <c r="J90" s="45" t="s">
        <v>15</v>
      </c>
      <c r="K90">
        <v>210</v>
      </c>
      <c r="L90">
        <f t="shared" si="14"/>
        <v>3</v>
      </c>
      <c r="M90">
        <v>71.45004970385618</v>
      </c>
      <c r="N90">
        <v>72.146445530486943</v>
      </c>
      <c r="O90">
        <f t="shared" si="11"/>
        <v>0</v>
      </c>
      <c r="P90">
        <f t="shared" si="12"/>
        <v>1</v>
      </c>
      <c r="Q90">
        <f t="shared" si="13"/>
        <v>1.8080000000000001</v>
      </c>
      <c r="R90">
        <v>1</v>
      </c>
      <c r="S90">
        <f t="shared" si="15"/>
        <v>0.6111681647181002</v>
      </c>
      <c r="T90">
        <v>0.44710973182601838</v>
      </c>
      <c r="U90">
        <f t="shared" si="16"/>
        <v>-0.16405843289208183</v>
      </c>
    </row>
    <row r="91" spans="1:21">
      <c r="A91">
        <f t="shared" si="17"/>
        <v>90</v>
      </c>
      <c r="B91" s="2">
        <f t="shared" si="18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36">
        <v>4.9000000000000004</v>
      </c>
      <c r="H91" s="5">
        <v>10</v>
      </c>
      <c r="I91" s="41" t="s">
        <v>10</v>
      </c>
      <c r="J91" s="45" t="s">
        <v>19</v>
      </c>
      <c r="K91">
        <v>283</v>
      </c>
      <c r="L91">
        <f t="shared" si="14"/>
        <v>3</v>
      </c>
      <c r="M91">
        <v>97.398208788098572</v>
      </c>
      <c r="N91">
        <v>97.910219462168712</v>
      </c>
      <c r="O91">
        <f t="shared" si="11"/>
        <v>0</v>
      </c>
      <c r="P91">
        <f t="shared" si="12"/>
        <v>1</v>
      </c>
      <c r="Q91">
        <f t="shared" si="13"/>
        <v>1.8080000000000001</v>
      </c>
      <c r="R91">
        <v>0</v>
      </c>
      <c r="S91">
        <f t="shared" si="15"/>
        <v>0.22744925636063273</v>
      </c>
      <c r="T91">
        <v>-7.0477609857597295E-2</v>
      </c>
      <c r="U91">
        <f t="shared" si="16"/>
        <v>-0.29792686621823006</v>
      </c>
    </row>
    <row r="92" spans="1:21">
      <c r="A92">
        <f t="shared" si="17"/>
        <v>91</v>
      </c>
      <c r="B92" s="2">
        <f t="shared" si="18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36">
        <v>4.5</v>
      </c>
      <c r="H92" s="5">
        <v>10</v>
      </c>
      <c r="I92" s="41" t="s">
        <v>10</v>
      </c>
      <c r="J92" s="45" t="s">
        <v>14</v>
      </c>
      <c r="K92">
        <v>290</v>
      </c>
      <c r="L92">
        <f t="shared" si="14"/>
        <v>3</v>
      </c>
      <c r="M92">
        <v>210.08629900607102</v>
      </c>
      <c r="N92">
        <v>210.32416178382425</v>
      </c>
      <c r="O92">
        <f t="shared" si="11"/>
        <v>0</v>
      </c>
      <c r="P92">
        <f t="shared" si="12"/>
        <v>1</v>
      </c>
      <c r="Q92">
        <f t="shared" si="13"/>
        <v>1.8080000000000001</v>
      </c>
      <c r="R92">
        <v>1</v>
      </c>
      <c r="S92">
        <f t="shared" si="15"/>
        <v>-1.0736275863245204</v>
      </c>
      <c r="T92">
        <v>-0.94543836386152869</v>
      </c>
      <c r="U92">
        <f t="shared" si="16"/>
        <v>0.12818922246299169</v>
      </c>
    </row>
    <row r="93" spans="1:21">
      <c r="A93">
        <f t="shared" si="17"/>
        <v>92</v>
      </c>
      <c r="B93" s="2">
        <f t="shared" si="18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36">
        <v>4.5</v>
      </c>
      <c r="H93" s="5">
        <v>10</v>
      </c>
      <c r="I93" s="41" t="s">
        <v>10</v>
      </c>
      <c r="J93" s="45" t="s">
        <v>19</v>
      </c>
      <c r="K93">
        <v>283</v>
      </c>
      <c r="L93">
        <f t="shared" si="14"/>
        <v>3</v>
      </c>
      <c r="M93">
        <v>113.49793514390502</v>
      </c>
      <c r="N93">
        <v>113.9376201345722</v>
      </c>
      <c r="O93">
        <f t="shared" si="11"/>
        <v>0</v>
      </c>
      <c r="P93">
        <f t="shared" si="12"/>
        <v>1</v>
      </c>
      <c r="Q93">
        <f t="shared" si="13"/>
        <v>1.8080000000000001</v>
      </c>
      <c r="R93">
        <v>1</v>
      </c>
      <c r="S93">
        <f t="shared" si="15"/>
        <v>-0.32550092297085498</v>
      </c>
      <c r="T93">
        <v>-0.44343169630048357</v>
      </c>
      <c r="U93">
        <f t="shared" si="16"/>
        <v>-0.11793077332962859</v>
      </c>
    </row>
    <row r="94" spans="1:21">
      <c r="A94">
        <f t="shared" si="17"/>
        <v>93</v>
      </c>
      <c r="B94" s="2">
        <f t="shared" si="18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36">
        <v>3.8</v>
      </c>
      <c r="H94" s="5">
        <v>10</v>
      </c>
      <c r="I94" s="41" t="s">
        <v>10</v>
      </c>
      <c r="J94" s="45" t="s">
        <v>15</v>
      </c>
      <c r="K94">
        <v>210</v>
      </c>
      <c r="L94">
        <f t="shared" si="14"/>
        <v>3</v>
      </c>
      <c r="M94">
        <v>28.931001680991574</v>
      </c>
      <c r="N94">
        <v>30.610502417724824</v>
      </c>
      <c r="O94">
        <f t="shared" si="11"/>
        <v>0</v>
      </c>
      <c r="P94">
        <f t="shared" si="12"/>
        <v>1</v>
      </c>
      <c r="Q94">
        <f t="shared" si="13"/>
        <v>1.8080000000000001</v>
      </c>
      <c r="R94">
        <v>1</v>
      </c>
      <c r="S94">
        <f t="shared" si="15"/>
        <v>0.59861890010844387</v>
      </c>
      <c r="T94">
        <v>-8.6450087932165381E-2</v>
      </c>
      <c r="U94">
        <f t="shared" si="16"/>
        <v>-0.68506898804060923</v>
      </c>
    </row>
    <row r="95" spans="1:21">
      <c r="A95">
        <f t="shared" si="17"/>
        <v>94</v>
      </c>
      <c r="B95" s="2">
        <f t="shared" si="18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36">
        <v>4.2</v>
      </c>
      <c r="H95" s="5">
        <v>12</v>
      </c>
      <c r="I95" s="41" t="s">
        <v>10</v>
      </c>
      <c r="J95" s="45" t="s">
        <v>14</v>
      </c>
      <c r="K95">
        <v>290</v>
      </c>
      <c r="L95">
        <f t="shared" si="14"/>
        <v>3</v>
      </c>
      <c r="M95">
        <v>219.07442776542351</v>
      </c>
      <c r="N95">
        <v>219.40283703896759</v>
      </c>
      <c r="O95">
        <f t="shared" si="11"/>
        <v>0</v>
      </c>
      <c r="P95">
        <f t="shared" si="12"/>
        <v>1</v>
      </c>
      <c r="Q95">
        <f t="shared" si="13"/>
        <v>1.8080000000000001</v>
      </c>
      <c r="R95">
        <v>1</v>
      </c>
      <c r="S95">
        <f t="shared" si="15"/>
        <v>-1.3865744062184502</v>
      </c>
      <c r="T95">
        <v>-1.2900851204723098</v>
      </c>
      <c r="U95">
        <f t="shared" si="16"/>
        <v>9.6489285746140352E-2</v>
      </c>
    </row>
    <row r="96" spans="1:21">
      <c r="A96">
        <f t="shared" si="17"/>
        <v>95</v>
      </c>
      <c r="B96" s="2">
        <f t="shared" si="18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36">
        <v>4.2</v>
      </c>
      <c r="H96" s="5">
        <v>12</v>
      </c>
      <c r="I96" s="41" t="s">
        <v>10</v>
      </c>
      <c r="J96" s="45" t="s">
        <v>15</v>
      </c>
      <c r="K96">
        <v>210</v>
      </c>
      <c r="L96">
        <f t="shared" si="14"/>
        <v>3</v>
      </c>
      <c r="M96">
        <v>54.022115727964547</v>
      </c>
      <c r="N96">
        <v>55.33885603918457</v>
      </c>
      <c r="O96">
        <f t="shared" si="11"/>
        <v>0</v>
      </c>
      <c r="P96">
        <f t="shared" si="12"/>
        <v>1</v>
      </c>
      <c r="Q96">
        <f t="shared" si="13"/>
        <v>1.8080000000000001</v>
      </c>
      <c r="R96">
        <v>1</v>
      </c>
      <c r="S96">
        <f t="shared" si="15"/>
        <v>0.2623524412170517</v>
      </c>
      <c r="T96">
        <v>-0.44190839752676969</v>
      </c>
      <c r="U96">
        <f t="shared" si="16"/>
        <v>-0.70426083874382139</v>
      </c>
    </row>
    <row r="97" spans="1:21">
      <c r="A97">
        <f t="shared" si="17"/>
        <v>96</v>
      </c>
      <c r="B97" s="2">
        <f t="shared" si="18"/>
        <v>49</v>
      </c>
      <c r="C97" s="25">
        <v>43357</v>
      </c>
      <c r="D97" s="26">
        <v>0.16467592593107838</v>
      </c>
      <c r="E97" s="27">
        <v>-8.16</v>
      </c>
      <c r="F97" s="27">
        <v>116.37</v>
      </c>
      <c r="G97" s="36">
        <v>4.2</v>
      </c>
      <c r="H97" s="27">
        <v>12</v>
      </c>
      <c r="I97" s="2" t="s">
        <v>10</v>
      </c>
      <c r="J97" s="45" t="s">
        <v>16</v>
      </c>
      <c r="K97">
        <v>770</v>
      </c>
      <c r="L97">
        <f t="shared" si="14"/>
        <v>1</v>
      </c>
      <c r="M97">
        <v>68.094097247178624</v>
      </c>
      <c r="N97">
        <v>69.143373362226257</v>
      </c>
      <c r="O97">
        <f t="shared" si="11"/>
        <v>0</v>
      </c>
      <c r="P97">
        <f t="shared" si="12"/>
        <v>1</v>
      </c>
      <c r="Q97">
        <f t="shared" si="13"/>
        <v>1.1719999999999999</v>
      </c>
      <c r="R97">
        <v>1</v>
      </c>
      <c r="S97">
        <f t="shared" si="15"/>
        <v>-0.64019458168576282</v>
      </c>
      <c r="T97">
        <v>-0.85114153453432606</v>
      </c>
      <c r="U97">
        <f t="shared" si="16"/>
        <v>-0.21094695284856324</v>
      </c>
    </row>
    <row r="98" spans="1:21">
      <c r="A98">
        <f t="shared" si="17"/>
        <v>97</v>
      </c>
      <c r="B98" s="2">
        <f t="shared" si="18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36">
        <v>4.2</v>
      </c>
      <c r="H98" s="5">
        <v>10</v>
      </c>
      <c r="I98" s="41" t="s">
        <v>10</v>
      </c>
      <c r="J98" s="45" t="s">
        <v>19</v>
      </c>
      <c r="K98">
        <v>283</v>
      </c>
      <c r="L98">
        <f t="shared" si="14"/>
        <v>3</v>
      </c>
      <c r="M98">
        <v>149.41083072966944</v>
      </c>
      <c r="N98">
        <v>149.74510455881332</v>
      </c>
      <c r="O98">
        <f t="shared" ref="O98:O129" si="19">IF(H98&lt;15,0,1)</f>
        <v>0</v>
      </c>
      <c r="P98">
        <f t="shared" ref="P98:P129" si="20">IF(I98="reverse",1,0)</f>
        <v>1</v>
      </c>
      <c r="Q98">
        <f t="shared" ref="Q98:Q129" si="21">IF(L98=1,$W$8,IF(L98=2,$W$9,$W$10))</f>
        <v>1.8080000000000001</v>
      </c>
      <c r="R98">
        <v>1</v>
      </c>
      <c r="S98">
        <f t="shared" si="15"/>
        <v>-0.91911252640518071</v>
      </c>
      <c r="T98">
        <v>-1.2911652677923637</v>
      </c>
      <c r="U98">
        <f t="shared" si="16"/>
        <v>-0.37205274138718303</v>
      </c>
    </row>
    <row r="99" spans="1:21">
      <c r="A99">
        <f t="shared" si="17"/>
        <v>98</v>
      </c>
      <c r="B99" s="2">
        <f t="shared" si="18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36">
        <v>3.5</v>
      </c>
      <c r="H99" s="5">
        <v>16</v>
      </c>
      <c r="I99" s="41" t="s">
        <v>10</v>
      </c>
      <c r="J99" s="45" t="s">
        <v>15</v>
      </c>
      <c r="K99">
        <v>210</v>
      </c>
      <c r="L99">
        <f t="shared" si="14"/>
        <v>3</v>
      </c>
      <c r="M99">
        <v>27.234821366102938</v>
      </c>
      <c r="N99">
        <v>31.586951338227262</v>
      </c>
      <c r="O99">
        <f t="shared" si="19"/>
        <v>1</v>
      </c>
      <c r="P99">
        <f t="shared" si="20"/>
        <v>1</v>
      </c>
      <c r="Q99">
        <f t="shared" si="21"/>
        <v>1.8080000000000001</v>
      </c>
      <c r="R99">
        <v>1</v>
      </c>
      <c r="S99">
        <f t="shared" si="15"/>
        <v>0.31156625812274075</v>
      </c>
      <c r="T99">
        <v>-0.38699252064964462</v>
      </c>
      <c r="U99">
        <f t="shared" si="16"/>
        <v>-0.69855877877238537</v>
      </c>
    </row>
    <row r="100" spans="1:21">
      <c r="A100">
        <f t="shared" si="17"/>
        <v>99</v>
      </c>
      <c r="B100" s="2">
        <f t="shared" si="18"/>
        <v>51</v>
      </c>
      <c r="C100" s="25">
        <v>43364</v>
      </c>
      <c r="D100" s="26">
        <v>0.28790509259852115</v>
      </c>
      <c r="E100" s="27">
        <v>-8.32</v>
      </c>
      <c r="F100" s="27">
        <v>116.12</v>
      </c>
      <c r="G100" s="36">
        <v>3.5</v>
      </c>
      <c r="H100" s="27">
        <v>16</v>
      </c>
      <c r="I100" s="2" t="s">
        <v>10</v>
      </c>
      <c r="J100" s="45" t="s">
        <v>16</v>
      </c>
      <c r="K100">
        <v>770</v>
      </c>
      <c r="L100">
        <f t="shared" si="14"/>
        <v>1</v>
      </c>
      <c r="M100">
        <v>52.611970116012088</v>
      </c>
      <c r="N100">
        <v>54.991084727327838</v>
      </c>
      <c r="O100">
        <f t="shared" si="19"/>
        <v>1</v>
      </c>
      <c r="P100">
        <f t="shared" si="20"/>
        <v>1</v>
      </c>
      <c r="Q100">
        <f t="shared" si="21"/>
        <v>1.1719999999999999</v>
      </c>
      <c r="R100">
        <v>1</v>
      </c>
      <c r="S100">
        <f t="shared" si="15"/>
        <v>-0.96848782898986463</v>
      </c>
      <c r="T100">
        <v>-1.6661085807394693</v>
      </c>
      <c r="U100">
        <f t="shared" si="16"/>
        <v>-0.6976207517496047</v>
      </c>
    </row>
    <row r="101" spans="1:21">
      <c r="A101">
        <f t="shared" si="17"/>
        <v>100</v>
      </c>
      <c r="B101" s="2">
        <f t="shared" si="18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36">
        <v>4</v>
      </c>
      <c r="H101" s="5">
        <v>13</v>
      </c>
      <c r="I101" s="41" t="s">
        <v>10</v>
      </c>
      <c r="J101" s="45" t="s">
        <v>19</v>
      </c>
      <c r="K101">
        <v>283</v>
      </c>
      <c r="L101">
        <f t="shared" si="14"/>
        <v>3</v>
      </c>
      <c r="M101">
        <v>76.556929365864917</v>
      </c>
      <c r="N101">
        <v>77.652839187823844</v>
      </c>
      <c r="O101">
        <f t="shared" si="19"/>
        <v>0</v>
      </c>
      <c r="P101">
        <f t="shared" si="20"/>
        <v>1</v>
      </c>
      <c r="Q101">
        <f t="shared" si="21"/>
        <v>1.8080000000000001</v>
      </c>
      <c r="R101">
        <v>0</v>
      </c>
      <c r="S101">
        <f t="shared" si="15"/>
        <v>-0.32334424132327633</v>
      </c>
      <c r="T101">
        <v>-1.2979018774711306</v>
      </c>
      <c r="U101">
        <f t="shared" si="16"/>
        <v>-0.97455763614785429</v>
      </c>
    </row>
    <row r="102" spans="1:21">
      <c r="A102">
        <f t="shared" si="17"/>
        <v>101</v>
      </c>
      <c r="B102" s="2">
        <f t="shared" si="18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36">
        <v>3.7</v>
      </c>
      <c r="H102" s="5">
        <v>11</v>
      </c>
      <c r="I102" s="41" t="s">
        <v>10</v>
      </c>
      <c r="J102" s="45" t="s">
        <v>13</v>
      </c>
      <c r="K102">
        <v>386</v>
      </c>
      <c r="L102">
        <f t="shared" si="14"/>
        <v>2</v>
      </c>
      <c r="M102">
        <v>202.99354263663312</v>
      </c>
      <c r="N102">
        <v>203.29136320112224</v>
      </c>
      <c r="O102">
        <f t="shared" si="19"/>
        <v>0</v>
      </c>
      <c r="P102">
        <f t="shared" si="20"/>
        <v>1</v>
      </c>
      <c r="Q102">
        <f t="shared" si="21"/>
        <v>1.6830000000000001</v>
      </c>
      <c r="R102">
        <v>0</v>
      </c>
      <c r="S102">
        <f t="shared" si="15"/>
        <v>-1.8466404541436832</v>
      </c>
      <c r="T102">
        <v>-1.2056849148539128</v>
      </c>
      <c r="U102">
        <f t="shared" si="16"/>
        <v>0.64095553928977034</v>
      </c>
    </row>
    <row r="103" spans="1:21">
      <c r="A103">
        <f t="shared" si="17"/>
        <v>102</v>
      </c>
      <c r="B103" s="2">
        <f t="shared" si="18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36">
        <v>4.9000000000000004</v>
      </c>
      <c r="H103" s="5">
        <v>10</v>
      </c>
      <c r="I103" s="41" t="s">
        <v>10</v>
      </c>
      <c r="J103" s="45" t="s">
        <v>15</v>
      </c>
      <c r="K103">
        <v>210</v>
      </c>
      <c r="L103">
        <f t="shared" si="14"/>
        <v>3</v>
      </c>
      <c r="M103">
        <v>74.843048563414939</v>
      </c>
      <c r="N103">
        <v>75.508157958366894</v>
      </c>
      <c r="O103">
        <f t="shared" si="19"/>
        <v>0</v>
      </c>
      <c r="P103">
        <f t="shared" si="20"/>
        <v>1</v>
      </c>
      <c r="Q103">
        <f t="shared" si="21"/>
        <v>1.8080000000000001</v>
      </c>
      <c r="R103">
        <v>1</v>
      </c>
      <c r="S103">
        <f t="shared" si="15"/>
        <v>0.55315976742432005</v>
      </c>
      <c r="T103">
        <v>0.45058062014487604</v>
      </c>
      <c r="U103">
        <f t="shared" si="16"/>
        <v>-0.10257914727944401</v>
      </c>
    </row>
    <row r="104" spans="1:21">
      <c r="A104">
        <f t="shared" si="17"/>
        <v>103</v>
      </c>
      <c r="B104" s="2">
        <f t="shared" si="18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36">
        <v>4.9000000000000004</v>
      </c>
      <c r="H104" s="5">
        <v>10</v>
      </c>
      <c r="I104" s="41" t="s">
        <v>10</v>
      </c>
      <c r="J104" s="45" t="s">
        <v>19</v>
      </c>
      <c r="K104">
        <v>283</v>
      </c>
      <c r="L104">
        <f t="shared" si="14"/>
        <v>3</v>
      </c>
      <c r="M104">
        <v>72.833909625461303</v>
      </c>
      <c r="N104">
        <v>73.517197928987102</v>
      </c>
      <c r="O104">
        <f t="shared" si="19"/>
        <v>0</v>
      </c>
      <c r="P104">
        <f t="shared" si="20"/>
        <v>1</v>
      </c>
      <c r="Q104">
        <f t="shared" si="21"/>
        <v>1.8080000000000001</v>
      </c>
      <c r="R104">
        <v>0</v>
      </c>
      <c r="S104">
        <f t="shared" si="15"/>
        <v>0.58715297593506621</v>
      </c>
      <c r="T104">
        <v>0.95353241245453668</v>
      </c>
      <c r="U104">
        <f t="shared" si="16"/>
        <v>0.36637943651947047</v>
      </c>
    </row>
    <row r="105" spans="1:21">
      <c r="A105">
        <f t="shared" si="17"/>
        <v>104</v>
      </c>
      <c r="B105" s="2">
        <f t="shared" si="18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36">
        <v>4.5</v>
      </c>
      <c r="H105" s="5">
        <v>10</v>
      </c>
      <c r="I105" s="41" t="s">
        <v>10</v>
      </c>
      <c r="J105" s="45" t="s">
        <v>14</v>
      </c>
      <c r="K105">
        <v>290</v>
      </c>
      <c r="L105">
        <f t="shared" si="14"/>
        <v>3</v>
      </c>
      <c r="M105">
        <v>169.5752754141601</v>
      </c>
      <c r="N105">
        <v>169.86987382048724</v>
      </c>
      <c r="O105">
        <f t="shared" si="19"/>
        <v>0</v>
      </c>
      <c r="P105">
        <f t="shared" si="20"/>
        <v>1</v>
      </c>
      <c r="Q105">
        <f t="shared" si="21"/>
        <v>1.8080000000000001</v>
      </c>
      <c r="R105">
        <v>0</v>
      </c>
      <c r="S105">
        <f t="shared" si="15"/>
        <v>-0.80888673915440079</v>
      </c>
      <c r="T105">
        <v>-0.80904661957159496</v>
      </c>
      <c r="U105">
        <f t="shared" si="16"/>
        <v>-1.5988041719416923E-4</v>
      </c>
    </row>
    <row r="106" spans="1:21">
      <c r="A106">
        <f t="shared" si="17"/>
        <v>105</v>
      </c>
      <c r="B106" s="2">
        <f t="shared" si="18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36">
        <v>4.3</v>
      </c>
      <c r="H106" s="5">
        <v>10</v>
      </c>
      <c r="I106" s="41" t="s">
        <v>10</v>
      </c>
      <c r="J106" s="45" t="s">
        <v>14</v>
      </c>
      <c r="K106">
        <v>290</v>
      </c>
      <c r="L106">
        <f t="shared" si="14"/>
        <v>3</v>
      </c>
      <c r="M106">
        <v>191.39436649976986</v>
      </c>
      <c r="N106">
        <v>191.65542916350748</v>
      </c>
      <c r="O106">
        <f t="shared" si="19"/>
        <v>0</v>
      </c>
      <c r="P106">
        <f t="shared" si="20"/>
        <v>1</v>
      </c>
      <c r="Q106">
        <f t="shared" si="21"/>
        <v>1.8080000000000001</v>
      </c>
      <c r="R106">
        <v>0</v>
      </c>
      <c r="S106">
        <f t="shared" si="15"/>
        <v>-1.1319787825083327</v>
      </c>
      <c r="T106">
        <v>-0.78509195560290479</v>
      </c>
      <c r="U106">
        <f t="shared" si="16"/>
        <v>0.34688682690542794</v>
      </c>
    </row>
    <row r="107" spans="1:21">
      <c r="A107">
        <f t="shared" si="17"/>
        <v>106</v>
      </c>
      <c r="B107" s="2">
        <f t="shared" si="18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36">
        <v>4.3</v>
      </c>
      <c r="H107" s="5">
        <v>10</v>
      </c>
      <c r="I107" s="41" t="s">
        <v>10</v>
      </c>
      <c r="J107" s="45" t="s">
        <v>15</v>
      </c>
      <c r="K107">
        <v>210</v>
      </c>
      <c r="L107">
        <f t="shared" si="14"/>
        <v>3</v>
      </c>
      <c r="M107">
        <v>62.335277789976317</v>
      </c>
      <c r="N107">
        <v>63.132296466654168</v>
      </c>
      <c r="O107">
        <f t="shared" si="19"/>
        <v>0</v>
      </c>
      <c r="P107">
        <f t="shared" si="20"/>
        <v>1</v>
      </c>
      <c r="Q107">
        <f t="shared" si="21"/>
        <v>1.8080000000000001</v>
      </c>
      <c r="R107">
        <v>1</v>
      </c>
      <c r="S107">
        <f t="shared" si="15"/>
        <v>0.19797633885757948</v>
      </c>
      <c r="T107">
        <v>-0.12583578531706582</v>
      </c>
      <c r="U107">
        <f t="shared" si="16"/>
        <v>-0.32381212417464533</v>
      </c>
    </row>
    <row r="108" spans="1:21">
      <c r="A108">
        <f t="shared" si="17"/>
        <v>107</v>
      </c>
      <c r="B108" s="2">
        <f t="shared" si="18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36">
        <v>4.7</v>
      </c>
      <c r="H108" s="5">
        <v>10</v>
      </c>
      <c r="I108" s="41" t="s">
        <v>10</v>
      </c>
      <c r="J108" s="45" t="s">
        <v>14</v>
      </c>
      <c r="K108">
        <v>290</v>
      </c>
      <c r="L108">
        <f t="shared" si="14"/>
        <v>3</v>
      </c>
      <c r="M108">
        <v>153.54034510521262</v>
      </c>
      <c r="N108">
        <v>153.8656478068701</v>
      </c>
      <c r="O108">
        <f t="shared" si="19"/>
        <v>0</v>
      </c>
      <c r="P108">
        <f t="shared" si="20"/>
        <v>1</v>
      </c>
      <c r="Q108">
        <f t="shared" si="21"/>
        <v>1.8080000000000001</v>
      </c>
      <c r="R108">
        <v>0</v>
      </c>
      <c r="S108">
        <f t="shared" si="15"/>
        <v>-0.51050968711698697</v>
      </c>
      <c r="T108">
        <v>-0.54243230328008096</v>
      </c>
      <c r="U108">
        <f t="shared" si="16"/>
        <v>-3.1922616163093998E-2</v>
      </c>
    </row>
    <row r="109" spans="1:21">
      <c r="A109">
        <f t="shared" si="17"/>
        <v>108</v>
      </c>
      <c r="B109" s="2">
        <f t="shared" si="18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36">
        <v>3.8</v>
      </c>
      <c r="H109" s="5">
        <v>20</v>
      </c>
      <c r="I109" s="41" t="s">
        <v>10</v>
      </c>
      <c r="J109" s="45" t="s">
        <v>19</v>
      </c>
      <c r="K109">
        <v>283</v>
      </c>
      <c r="L109">
        <f t="shared" si="14"/>
        <v>3</v>
      </c>
      <c r="M109">
        <v>73.704865393879203</v>
      </c>
      <c r="N109">
        <v>76.370198262999509</v>
      </c>
      <c r="O109">
        <f t="shared" si="19"/>
        <v>1</v>
      </c>
      <c r="P109">
        <f t="shared" si="20"/>
        <v>1</v>
      </c>
      <c r="Q109">
        <f t="shared" si="21"/>
        <v>1.8080000000000001</v>
      </c>
      <c r="R109">
        <v>0</v>
      </c>
      <c r="S109">
        <f t="shared" si="15"/>
        <v>-0.26401950439260502</v>
      </c>
      <c r="T109">
        <v>-1.7599694413001437</v>
      </c>
      <c r="U109">
        <f t="shared" si="16"/>
        <v>-1.4959499369075386</v>
      </c>
    </row>
    <row r="110" spans="1:21">
      <c r="A110">
        <f t="shared" si="17"/>
        <v>109</v>
      </c>
      <c r="B110" s="2">
        <f t="shared" si="18"/>
        <v>59</v>
      </c>
      <c r="C110" s="18">
        <v>43419</v>
      </c>
      <c r="D110" s="19">
        <v>0.82395833333333324</v>
      </c>
      <c r="E110" s="20">
        <v>-8.2100000000000009</v>
      </c>
      <c r="F110" s="20">
        <v>116.33</v>
      </c>
      <c r="G110" s="36">
        <v>3.7</v>
      </c>
      <c r="H110" s="20">
        <v>5</v>
      </c>
      <c r="I110" s="2" t="s">
        <v>10</v>
      </c>
      <c r="J110" s="45" t="s">
        <v>16</v>
      </c>
      <c r="K110">
        <v>770</v>
      </c>
      <c r="L110">
        <f t="shared" si="14"/>
        <v>1</v>
      </c>
      <c r="M110">
        <v>62.043000961657171</v>
      </c>
      <c r="N110">
        <v>62.244148064924083</v>
      </c>
      <c r="O110">
        <f t="shared" si="19"/>
        <v>0</v>
      </c>
      <c r="P110">
        <f t="shared" si="20"/>
        <v>1</v>
      </c>
      <c r="Q110">
        <f t="shared" si="21"/>
        <v>1.1719999999999999</v>
      </c>
      <c r="R110">
        <v>1</v>
      </c>
      <c r="S110">
        <f t="shared" si="15"/>
        <v>-0.97401338985560915</v>
      </c>
      <c r="T110">
        <v>-1.4536338426419571</v>
      </c>
      <c r="U110">
        <f t="shared" si="16"/>
        <v>-0.47962045278634791</v>
      </c>
    </row>
    <row r="111" spans="1:21">
      <c r="A111">
        <f t="shared" si="17"/>
        <v>110</v>
      </c>
      <c r="B111" s="2">
        <f t="shared" si="18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36">
        <v>3.7</v>
      </c>
      <c r="H111" s="5">
        <v>11</v>
      </c>
      <c r="I111" s="41" t="s">
        <v>10</v>
      </c>
      <c r="J111" s="45" t="s">
        <v>15</v>
      </c>
      <c r="K111">
        <v>210</v>
      </c>
      <c r="L111">
        <f t="shared" si="14"/>
        <v>3</v>
      </c>
      <c r="M111">
        <v>23.835078470597363</v>
      </c>
      <c r="N111">
        <v>26.25092313994946</v>
      </c>
      <c r="O111">
        <f t="shared" si="19"/>
        <v>0</v>
      </c>
      <c r="P111">
        <f t="shared" si="20"/>
        <v>1</v>
      </c>
      <c r="Q111">
        <f t="shared" si="21"/>
        <v>1.8080000000000001</v>
      </c>
      <c r="R111">
        <v>1</v>
      </c>
      <c r="S111">
        <f t="shared" si="15"/>
        <v>0.69114022656838436</v>
      </c>
      <c r="T111">
        <v>0.3004050036331174</v>
      </c>
      <c r="U111">
        <f t="shared" si="16"/>
        <v>-0.39073522293526697</v>
      </c>
    </row>
    <row r="112" spans="1:21">
      <c r="A112">
        <f t="shared" si="17"/>
        <v>111</v>
      </c>
      <c r="B112" s="2">
        <f t="shared" si="18"/>
        <v>60</v>
      </c>
      <c r="C112" s="18">
        <v>43421</v>
      </c>
      <c r="D112" s="19">
        <v>0.52866898148148145</v>
      </c>
      <c r="E112" s="20">
        <v>-8.35</v>
      </c>
      <c r="F112" s="20">
        <v>116.09</v>
      </c>
      <c r="G112" s="36">
        <v>3.7</v>
      </c>
      <c r="H112" s="20">
        <v>11</v>
      </c>
      <c r="I112" s="2" t="s">
        <v>10</v>
      </c>
      <c r="J112" s="45" t="s">
        <v>16</v>
      </c>
      <c r="K112">
        <v>770</v>
      </c>
      <c r="L112">
        <f t="shared" si="14"/>
        <v>1</v>
      </c>
      <c r="M112">
        <v>50.769469002227638</v>
      </c>
      <c r="N112">
        <v>51.94746367983862</v>
      </c>
      <c r="O112">
        <f t="shared" si="19"/>
        <v>0</v>
      </c>
      <c r="P112">
        <f t="shared" si="20"/>
        <v>1</v>
      </c>
      <c r="Q112">
        <f t="shared" si="21"/>
        <v>1.1719999999999999</v>
      </c>
      <c r="R112">
        <v>1</v>
      </c>
      <c r="S112">
        <f t="shared" si="15"/>
        <v>-0.76516577678032904</v>
      </c>
      <c r="T112">
        <v>-0.52453394766557815</v>
      </c>
      <c r="U112">
        <f t="shared" si="16"/>
        <v>0.24063182911475089</v>
      </c>
    </row>
    <row r="113" spans="1:21">
      <c r="A113">
        <f t="shared" si="17"/>
        <v>112</v>
      </c>
      <c r="B113" s="2">
        <f t="shared" si="18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36">
        <v>5.0999999999999996</v>
      </c>
      <c r="H113" s="5">
        <v>10</v>
      </c>
      <c r="I113" s="41" t="s">
        <v>10</v>
      </c>
      <c r="J113" s="45" t="s">
        <v>19</v>
      </c>
      <c r="K113">
        <v>283</v>
      </c>
      <c r="L113">
        <f t="shared" si="14"/>
        <v>3</v>
      </c>
      <c r="M113">
        <v>76.326023434540531</v>
      </c>
      <c r="N113">
        <v>76.978320671017698</v>
      </c>
      <c r="O113">
        <f t="shared" si="19"/>
        <v>0</v>
      </c>
      <c r="P113">
        <f t="shared" si="20"/>
        <v>1</v>
      </c>
      <c r="Q113">
        <f t="shared" si="21"/>
        <v>1.8080000000000001</v>
      </c>
      <c r="R113">
        <v>0</v>
      </c>
      <c r="S113">
        <f t="shared" si="15"/>
        <v>0.72688968889882899</v>
      </c>
      <c r="T113">
        <v>1.0738308827888137</v>
      </c>
      <c r="U113">
        <f t="shared" si="16"/>
        <v>0.34694119388998468</v>
      </c>
    </row>
    <row r="114" spans="1:21">
      <c r="A114">
        <f t="shared" si="17"/>
        <v>113</v>
      </c>
      <c r="B114" s="2">
        <f t="shared" si="18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36">
        <v>5.0999999999999996</v>
      </c>
      <c r="H114" s="5">
        <v>10</v>
      </c>
      <c r="I114" s="41" t="s">
        <v>10</v>
      </c>
      <c r="J114" s="45" t="s">
        <v>17</v>
      </c>
      <c r="K114">
        <v>1141</v>
      </c>
      <c r="L114">
        <f t="shared" si="14"/>
        <v>1</v>
      </c>
      <c r="M114">
        <v>45.913425587818345</v>
      </c>
      <c r="N114">
        <v>46.989814313403414</v>
      </c>
      <c r="O114">
        <f t="shared" si="19"/>
        <v>0</v>
      </c>
      <c r="P114">
        <f t="shared" si="20"/>
        <v>1</v>
      </c>
      <c r="Q114">
        <f t="shared" si="21"/>
        <v>1.1719999999999999</v>
      </c>
      <c r="R114">
        <v>0</v>
      </c>
      <c r="S114">
        <f t="shared" si="15"/>
        <v>0.77129687124769308</v>
      </c>
      <c r="T114">
        <v>1.4810990541565152</v>
      </c>
      <c r="U114">
        <f t="shared" si="16"/>
        <v>0.70980218290882213</v>
      </c>
    </row>
    <row r="115" spans="1:21">
      <c r="A115" s="8">
        <f t="shared" si="17"/>
        <v>114</v>
      </c>
      <c r="B115" s="9">
        <f t="shared" si="18"/>
        <v>62</v>
      </c>
      <c r="C115" s="10">
        <v>43508</v>
      </c>
      <c r="D115" s="11">
        <v>0.71231481481481485</v>
      </c>
      <c r="E115" s="12">
        <v>-8.39</v>
      </c>
      <c r="F115" s="12">
        <v>116.84</v>
      </c>
      <c r="G115" s="37">
        <v>4.5</v>
      </c>
      <c r="H115" s="12">
        <v>10</v>
      </c>
      <c r="I115" s="42" t="s">
        <v>10</v>
      </c>
      <c r="J115" s="46" t="s">
        <v>17</v>
      </c>
      <c r="K115">
        <v>1141</v>
      </c>
      <c r="L115">
        <f t="shared" si="14"/>
        <v>1</v>
      </c>
      <c r="M115">
        <v>38.954393040170586</v>
      </c>
      <c r="N115">
        <v>40.217468059639089</v>
      </c>
      <c r="O115">
        <f t="shared" si="19"/>
        <v>0</v>
      </c>
      <c r="P115">
        <f t="shared" si="20"/>
        <v>1</v>
      </c>
      <c r="Q115">
        <f t="shared" si="21"/>
        <v>1.1719999999999999</v>
      </c>
      <c r="R115">
        <v>0</v>
      </c>
      <c r="S115">
        <f t="shared" si="15"/>
        <v>0.32800641244174145</v>
      </c>
      <c r="T115">
        <v>0.47120503638676142</v>
      </c>
      <c r="U115">
        <f t="shared" si="16"/>
        <v>0.14319862394501998</v>
      </c>
    </row>
    <row r="116" spans="1:21">
      <c r="A116" s="8">
        <f t="shared" si="17"/>
        <v>115</v>
      </c>
      <c r="B116" s="9">
        <f t="shared" si="18"/>
        <v>63</v>
      </c>
      <c r="C116" s="28">
        <v>43541</v>
      </c>
      <c r="D116" s="11">
        <v>0.58848379629629632</v>
      </c>
      <c r="E116" s="12">
        <v>-8.4700000000000006</v>
      </c>
      <c r="F116" s="12">
        <v>116.55</v>
      </c>
      <c r="G116" s="37">
        <v>5.5</v>
      </c>
      <c r="H116" s="12">
        <v>19</v>
      </c>
      <c r="I116" s="9" t="s">
        <v>11</v>
      </c>
      <c r="J116" s="46" t="s">
        <v>16</v>
      </c>
      <c r="K116">
        <v>770</v>
      </c>
      <c r="L116">
        <f t="shared" si="14"/>
        <v>1</v>
      </c>
      <c r="M116">
        <v>44.602245905875868</v>
      </c>
      <c r="N116">
        <v>48.480515053454425</v>
      </c>
      <c r="O116">
        <f t="shared" si="19"/>
        <v>1</v>
      </c>
      <c r="P116">
        <f t="shared" si="20"/>
        <v>0</v>
      </c>
      <c r="Q116">
        <f t="shared" si="21"/>
        <v>1.1719999999999999</v>
      </c>
      <c r="R116">
        <v>1</v>
      </c>
      <c r="S116">
        <f t="shared" si="15"/>
        <v>2.5263591828343062</v>
      </c>
      <c r="T116">
        <v>2.7606065977694292</v>
      </c>
      <c r="U116">
        <f t="shared" si="16"/>
        <v>0.23424741493512302</v>
      </c>
    </row>
    <row r="117" spans="1:21">
      <c r="A117" s="8">
        <f t="shared" si="17"/>
        <v>116</v>
      </c>
      <c r="B117" s="9">
        <f t="shared" si="18"/>
        <v>63</v>
      </c>
      <c r="C117" s="10">
        <v>43541</v>
      </c>
      <c r="D117" s="11">
        <v>0.58848379629629632</v>
      </c>
      <c r="E117" s="12">
        <v>-8.4700000000000006</v>
      </c>
      <c r="F117" s="12">
        <v>116.55</v>
      </c>
      <c r="G117" s="37">
        <v>5.5</v>
      </c>
      <c r="H117" s="12">
        <v>19</v>
      </c>
      <c r="I117" s="9" t="s">
        <v>11</v>
      </c>
      <c r="J117" s="46" t="s">
        <v>17</v>
      </c>
      <c r="K117">
        <v>1141</v>
      </c>
      <c r="L117">
        <f t="shared" si="14"/>
        <v>1</v>
      </c>
      <c r="M117">
        <v>47.410108769841003</v>
      </c>
      <c r="N117">
        <v>51.075614666572093</v>
      </c>
      <c r="O117">
        <f t="shared" si="19"/>
        <v>1</v>
      </c>
      <c r="P117">
        <f t="shared" si="20"/>
        <v>0</v>
      </c>
      <c r="Q117">
        <f t="shared" si="21"/>
        <v>1.1719999999999999</v>
      </c>
      <c r="R117">
        <v>1</v>
      </c>
      <c r="S117">
        <f t="shared" si="15"/>
        <v>2.4389281387860073</v>
      </c>
      <c r="T117">
        <v>1.6773240285264492</v>
      </c>
      <c r="U117">
        <f t="shared" si="16"/>
        <v>-0.7616041102595581</v>
      </c>
    </row>
    <row r="118" spans="1:21">
      <c r="A118" s="8">
        <f t="shared" si="17"/>
        <v>117</v>
      </c>
      <c r="B118" s="9">
        <f t="shared" si="18"/>
        <v>64</v>
      </c>
      <c r="C118" s="28">
        <v>43541</v>
      </c>
      <c r="D118" s="11">
        <v>0.58981481481481479</v>
      </c>
      <c r="E118" s="12">
        <v>-8.51</v>
      </c>
      <c r="F118" s="12">
        <v>116.49</v>
      </c>
      <c r="G118" s="37">
        <v>5.0999999999999996</v>
      </c>
      <c r="H118" s="12">
        <v>11</v>
      </c>
      <c r="I118" s="9" t="s">
        <v>11</v>
      </c>
      <c r="J118" s="46" t="s">
        <v>16</v>
      </c>
      <c r="K118">
        <v>770</v>
      </c>
      <c r="L118">
        <f t="shared" si="14"/>
        <v>1</v>
      </c>
      <c r="M118">
        <v>36.872886592294471</v>
      </c>
      <c r="N118">
        <v>38.478692358865437</v>
      </c>
      <c r="O118">
        <f t="shared" si="19"/>
        <v>0</v>
      </c>
      <c r="P118">
        <f t="shared" si="20"/>
        <v>0</v>
      </c>
      <c r="Q118">
        <f t="shared" si="21"/>
        <v>1.1719999999999999</v>
      </c>
      <c r="R118">
        <v>1</v>
      </c>
      <c r="S118">
        <f t="shared" si="15"/>
        <v>2.2169642430577934</v>
      </c>
      <c r="T118">
        <v>2.7400177959850427</v>
      </c>
      <c r="U118">
        <f t="shared" si="16"/>
        <v>0.52305355292724931</v>
      </c>
    </row>
    <row r="119" spans="1:21">
      <c r="A119">
        <f t="shared" si="17"/>
        <v>118</v>
      </c>
      <c r="B119" s="2">
        <f t="shared" si="18"/>
        <v>65</v>
      </c>
      <c r="C119" s="25">
        <v>43571</v>
      </c>
      <c r="D119" s="26">
        <v>0.55440972223004792</v>
      </c>
      <c r="E119" s="27">
        <v>-8.2200000000000006</v>
      </c>
      <c r="F119" s="27">
        <v>116.76</v>
      </c>
      <c r="G119" s="36">
        <v>4.5999999999999996</v>
      </c>
      <c r="H119" s="27">
        <v>16</v>
      </c>
      <c r="I119" s="41" t="s">
        <v>10</v>
      </c>
      <c r="J119" s="45" t="s">
        <v>13</v>
      </c>
      <c r="K119">
        <v>386</v>
      </c>
      <c r="L119">
        <f t="shared" si="14"/>
        <v>2</v>
      </c>
      <c r="M119">
        <v>217.7283448303655</v>
      </c>
      <c r="N119">
        <v>218.31544183261647</v>
      </c>
      <c r="O119">
        <f t="shared" si="19"/>
        <v>1</v>
      </c>
      <c r="P119">
        <f t="shared" si="20"/>
        <v>1</v>
      </c>
      <c r="Q119">
        <f t="shared" si="21"/>
        <v>1.6830000000000001</v>
      </c>
      <c r="R119">
        <v>0</v>
      </c>
      <c r="S119">
        <f t="shared" si="15"/>
        <v>-1.1145104927429459</v>
      </c>
      <c r="T119">
        <v>-0.33991749416046613</v>
      </c>
      <c r="U119">
        <f t="shared" si="16"/>
        <v>0.77459299858247976</v>
      </c>
    </row>
    <row r="120" spans="1:21">
      <c r="A120">
        <f t="shared" si="17"/>
        <v>119</v>
      </c>
      <c r="B120" s="2">
        <f t="shared" si="18"/>
        <v>66</v>
      </c>
      <c r="C120" s="25">
        <v>43579</v>
      </c>
      <c r="D120" s="26">
        <v>0.76734953703999054</v>
      </c>
      <c r="E120" s="27">
        <v>-8.1</v>
      </c>
      <c r="F120" s="27">
        <v>117.71</v>
      </c>
      <c r="G120" s="36">
        <v>3.8</v>
      </c>
      <c r="H120" s="27">
        <v>10</v>
      </c>
      <c r="I120" s="41" t="s">
        <v>10</v>
      </c>
      <c r="J120" s="45" t="s">
        <v>13</v>
      </c>
      <c r="K120">
        <v>386</v>
      </c>
      <c r="L120">
        <f t="shared" si="14"/>
        <v>2</v>
      </c>
      <c r="M120">
        <v>119.77550230598494</v>
      </c>
      <c r="N120">
        <v>120.19222500915359</v>
      </c>
      <c r="O120">
        <f t="shared" si="19"/>
        <v>0</v>
      </c>
      <c r="P120">
        <f t="shared" si="20"/>
        <v>1</v>
      </c>
      <c r="Q120">
        <f t="shared" si="21"/>
        <v>1.6830000000000001</v>
      </c>
      <c r="R120">
        <v>1</v>
      </c>
      <c r="S120">
        <f t="shared" si="15"/>
        <v>-1.1335073065769243</v>
      </c>
      <c r="T120">
        <v>-0.75973898194972467</v>
      </c>
      <c r="U120">
        <f t="shared" si="16"/>
        <v>0.37376832462719967</v>
      </c>
    </row>
    <row r="121" spans="1:21">
      <c r="A121">
        <f t="shared" si="17"/>
        <v>120</v>
      </c>
      <c r="B121" s="2">
        <f t="shared" si="18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36">
        <v>3.8</v>
      </c>
      <c r="H121" s="5">
        <v>10</v>
      </c>
      <c r="I121" s="41" t="s">
        <v>10</v>
      </c>
      <c r="J121" s="45" t="s">
        <v>17</v>
      </c>
      <c r="K121">
        <v>1141</v>
      </c>
      <c r="L121">
        <f t="shared" si="14"/>
        <v>1</v>
      </c>
      <c r="M121">
        <v>116.1383311956387</v>
      </c>
      <c r="N121">
        <v>116.568057258015</v>
      </c>
      <c r="O121">
        <f t="shared" si="19"/>
        <v>0</v>
      </c>
      <c r="P121">
        <f t="shared" si="20"/>
        <v>1</v>
      </c>
      <c r="Q121">
        <f t="shared" si="21"/>
        <v>1.1719999999999999</v>
      </c>
      <c r="R121">
        <v>0</v>
      </c>
      <c r="S121">
        <f t="shared" si="15"/>
        <v>-1.6088041817293222</v>
      </c>
      <c r="T121">
        <v>-2.0401063908901294</v>
      </c>
      <c r="U121">
        <f t="shared" si="16"/>
        <v>-0.43130220916080719</v>
      </c>
    </row>
    <row r="122" spans="1:21">
      <c r="A122">
        <f t="shared" si="17"/>
        <v>121</v>
      </c>
      <c r="B122" s="2">
        <f t="shared" si="18"/>
        <v>67</v>
      </c>
      <c r="C122" s="25">
        <v>43699</v>
      </c>
      <c r="D122" s="26">
        <v>0.37410879629629629</v>
      </c>
      <c r="E122" s="27">
        <v>-7.92</v>
      </c>
      <c r="F122" s="27">
        <v>117.15</v>
      </c>
      <c r="G122" s="36">
        <v>4.7</v>
      </c>
      <c r="H122" s="27">
        <v>10</v>
      </c>
      <c r="I122" s="41" t="s">
        <v>10</v>
      </c>
      <c r="J122" s="45" t="s">
        <v>13</v>
      </c>
      <c r="K122">
        <v>386</v>
      </c>
      <c r="L122">
        <f t="shared" si="14"/>
        <v>2</v>
      </c>
      <c r="M122">
        <v>184.86066146795699</v>
      </c>
      <c r="N122">
        <v>185.13093787471232</v>
      </c>
      <c r="O122">
        <f t="shared" si="19"/>
        <v>0</v>
      </c>
      <c r="P122">
        <f t="shared" si="20"/>
        <v>1</v>
      </c>
      <c r="Q122">
        <f t="shared" si="21"/>
        <v>1.6830000000000001</v>
      </c>
      <c r="R122">
        <v>1</v>
      </c>
      <c r="S122">
        <f t="shared" si="15"/>
        <v>-0.8640208114056136</v>
      </c>
      <c r="T122">
        <v>0.15951141808799391</v>
      </c>
      <c r="U122">
        <f t="shared" si="16"/>
        <v>1.0235322294936076</v>
      </c>
    </row>
    <row r="123" spans="1:21">
      <c r="A123">
        <f t="shared" si="17"/>
        <v>122</v>
      </c>
      <c r="B123" s="2">
        <f t="shared" si="18"/>
        <v>67</v>
      </c>
      <c r="C123" s="25">
        <v>43699</v>
      </c>
      <c r="D123" s="26">
        <v>0.37410879629629629</v>
      </c>
      <c r="E123" s="27">
        <v>-7.92</v>
      </c>
      <c r="F123" s="27">
        <v>117.15</v>
      </c>
      <c r="G123" s="36">
        <v>4.7</v>
      </c>
      <c r="H123" s="27">
        <v>10</v>
      </c>
      <c r="I123" s="2" t="s">
        <v>10</v>
      </c>
      <c r="J123" s="45" t="s">
        <v>16</v>
      </c>
      <c r="K123">
        <v>770</v>
      </c>
      <c r="L123">
        <f t="shared" si="14"/>
        <v>1</v>
      </c>
      <c r="M123">
        <v>134.91677794532623</v>
      </c>
      <c r="N123">
        <v>135.28686917490725</v>
      </c>
      <c r="O123">
        <f t="shared" si="19"/>
        <v>0</v>
      </c>
      <c r="P123">
        <f t="shared" si="20"/>
        <v>1</v>
      </c>
      <c r="Q123">
        <f t="shared" si="21"/>
        <v>1.1719999999999999</v>
      </c>
      <c r="R123">
        <v>1</v>
      </c>
      <c r="S123">
        <f t="shared" si="15"/>
        <v>-0.98911993450751701</v>
      </c>
      <c r="T123">
        <v>-1.0337655175557954</v>
      </c>
      <c r="U123">
        <f t="shared" si="16"/>
        <v>-4.464558304827837E-2</v>
      </c>
    </row>
    <row r="124" spans="1:21">
      <c r="A124">
        <f t="shared" si="17"/>
        <v>123</v>
      </c>
      <c r="B124" s="2">
        <f t="shared" si="18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36">
        <v>4.7</v>
      </c>
      <c r="H124" s="5">
        <v>10</v>
      </c>
      <c r="I124" s="41" t="s">
        <v>10</v>
      </c>
      <c r="J124" s="45" t="s">
        <v>19</v>
      </c>
      <c r="K124">
        <v>283</v>
      </c>
      <c r="L124">
        <f t="shared" si="14"/>
        <v>3</v>
      </c>
      <c r="M124">
        <v>69.541234354373785</v>
      </c>
      <c r="N124">
        <v>70.25655325683104</v>
      </c>
      <c r="O124">
        <f t="shared" si="19"/>
        <v>0</v>
      </c>
      <c r="P124">
        <f t="shared" si="20"/>
        <v>1</v>
      </c>
      <c r="Q124">
        <f t="shared" si="21"/>
        <v>1.8080000000000001</v>
      </c>
      <c r="R124">
        <v>0</v>
      </c>
      <c r="S124">
        <f t="shared" si="15"/>
        <v>0.44896202313089217</v>
      </c>
      <c r="T124">
        <v>0.93789850954357268</v>
      </c>
      <c r="U124">
        <f t="shared" si="16"/>
        <v>0.4889364864126805</v>
      </c>
    </row>
    <row r="125" spans="1:21">
      <c r="A125">
        <f t="shared" si="17"/>
        <v>124</v>
      </c>
      <c r="B125" s="2">
        <f t="shared" si="18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36">
        <v>4.7</v>
      </c>
      <c r="H125" s="5">
        <v>10</v>
      </c>
      <c r="I125" s="41" t="s">
        <v>10</v>
      </c>
      <c r="J125" s="45" t="s">
        <v>17</v>
      </c>
      <c r="K125">
        <v>1141</v>
      </c>
      <c r="L125">
        <f t="shared" si="14"/>
        <v>1</v>
      </c>
      <c r="M125">
        <v>95.643589621406889</v>
      </c>
      <c r="N125">
        <v>96.164942862085098</v>
      </c>
      <c r="O125">
        <f t="shared" si="19"/>
        <v>0</v>
      </c>
      <c r="P125">
        <f t="shared" si="20"/>
        <v>1</v>
      </c>
      <c r="Q125">
        <f t="shared" si="21"/>
        <v>1.1719999999999999</v>
      </c>
      <c r="R125">
        <v>0</v>
      </c>
      <c r="S125">
        <f t="shared" si="15"/>
        <v>-0.57360334870898511</v>
      </c>
      <c r="T125">
        <v>1.2994459156889593</v>
      </c>
      <c r="U125">
        <f t="shared" si="16"/>
        <v>1.8730492643979444</v>
      </c>
    </row>
    <row r="126" spans="1:21">
      <c r="A126">
        <f t="shared" si="17"/>
        <v>125</v>
      </c>
      <c r="B126" s="2">
        <f t="shared" si="18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36">
        <v>4.5999999999999996</v>
      </c>
      <c r="H126" s="5">
        <v>10</v>
      </c>
      <c r="I126" s="41" t="s">
        <v>10</v>
      </c>
      <c r="J126" s="45" t="s">
        <v>14</v>
      </c>
      <c r="K126">
        <v>290</v>
      </c>
      <c r="L126">
        <f t="shared" si="14"/>
        <v>3</v>
      </c>
      <c r="M126">
        <v>96.937892582870234</v>
      </c>
      <c r="N126">
        <v>97.452321770228167</v>
      </c>
      <c r="O126">
        <f t="shared" si="19"/>
        <v>0</v>
      </c>
      <c r="P126">
        <f t="shared" si="20"/>
        <v>1</v>
      </c>
      <c r="Q126">
        <f t="shared" si="21"/>
        <v>1.8080000000000001</v>
      </c>
      <c r="R126">
        <v>1</v>
      </c>
      <c r="S126">
        <f t="shared" si="15"/>
        <v>-4.6207538057914999E-2</v>
      </c>
      <c r="T126">
        <v>0.4927596886612467</v>
      </c>
      <c r="U126">
        <f t="shared" si="16"/>
        <v>0.53896722671916164</v>
      </c>
    </row>
    <row r="127" spans="1:21">
      <c r="A127">
        <f t="shared" si="17"/>
        <v>126</v>
      </c>
      <c r="B127" s="2">
        <f t="shared" si="18"/>
        <v>68</v>
      </c>
      <c r="C127" s="29">
        <v>43720</v>
      </c>
      <c r="D127" s="30">
        <v>0.27743055555555557</v>
      </c>
      <c r="E127" s="31">
        <v>-7.89</v>
      </c>
      <c r="F127" s="31">
        <v>117.69</v>
      </c>
      <c r="G127" s="36">
        <v>4.5999999999999996</v>
      </c>
      <c r="H127" s="31">
        <v>10</v>
      </c>
      <c r="I127" s="2" t="s">
        <v>10</v>
      </c>
      <c r="J127" s="45" t="s">
        <v>16</v>
      </c>
      <c r="K127">
        <v>770</v>
      </c>
      <c r="L127">
        <f t="shared" si="14"/>
        <v>1</v>
      </c>
      <c r="M127">
        <v>184.53152886292455</v>
      </c>
      <c r="N127">
        <v>184.80228663219606</v>
      </c>
      <c r="O127">
        <f t="shared" si="19"/>
        <v>0</v>
      </c>
      <c r="P127">
        <f t="shared" si="20"/>
        <v>1</v>
      </c>
      <c r="Q127">
        <f t="shared" si="21"/>
        <v>1.1719999999999999</v>
      </c>
      <c r="R127">
        <v>0</v>
      </c>
      <c r="S127">
        <f t="shared" si="15"/>
        <v>-1.4608579420585126</v>
      </c>
      <c r="T127">
        <v>-1.6813093140058746</v>
      </c>
      <c r="U127">
        <f t="shared" si="16"/>
        <v>-0.22045137194736197</v>
      </c>
    </row>
    <row r="128" spans="1:21">
      <c r="A128">
        <f t="shared" si="17"/>
        <v>127</v>
      </c>
      <c r="B128" s="2">
        <f t="shared" si="18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36">
        <v>4.5999999999999996</v>
      </c>
      <c r="H128" s="5">
        <v>10</v>
      </c>
      <c r="I128" s="41" t="s">
        <v>10</v>
      </c>
      <c r="J128" s="45" t="s">
        <v>19</v>
      </c>
      <c r="K128">
        <v>283</v>
      </c>
      <c r="L128">
        <f t="shared" si="14"/>
        <v>3</v>
      </c>
      <c r="M128">
        <v>73.219283176838076</v>
      </c>
      <c r="N128">
        <v>73.899008308163403</v>
      </c>
      <c r="O128">
        <f t="shared" si="19"/>
        <v>0</v>
      </c>
      <c r="P128">
        <f t="shared" si="20"/>
        <v>1</v>
      </c>
      <c r="Q128">
        <f t="shared" si="21"/>
        <v>1.8080000000000001</v>
      </c>
      <c r="R128">
        <v>0</v>
      </c>
      <c r="S128">
        <f t="shared" si="15"/>
        <v>0.29045528964740486</v>
      </c>
      <c r="T128">
        <v>0.28293926167968519</v>
      </c>
      <c r="U128">
        <f t="shared" si="16"/>
        <v>-7.5160279677196629E-3</v>
      </c>
    </row>
    <row r="129" spans="1:21">
      <c r="A129">
        <f t="shared" si="17"/>
        <v>128</v>
      </c>
      <c r="B129" s="2">
        <f t="shared" si="18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36">
        <v>4.5999999999999996</v>
      </c>
      <c r="H129" s="5">
        <v>10</v>
      </c>
      <c r="I129" s="41" t="s">
        <v>10</v>
      </c>
      <c r="J129" s="45" t="s">
        <v>17</v>
      </c>
      <c r="K129">
        <v>1141</v>
      </c>
      <c r="L129">
        <f t="shared" si="14"/>
        <v>1</v>
      </c>
      <c r="M129">
        <v>130.14062651273792</v>
      </c>
      <c r="N129">
        <v>130.52426084497833</v>
      </c>
      <c r="O129">
        <f t="shared" si="19"/>
        <v>0</v>
      </c>
      <c r="P129">
        <f t="shared" si="20"/>
        <v>1</v>
      </c>
      <c r="Q129">
        <f t="shared" si="21"/>
        <v>1.1719999999999999</v>
      </c>
      <c r="R129">
        <v>0</v>
      </c>
      <c r="S129">
        <f t="shared" si="15"/>
        <v>-1.0354351916307498</v>
      </c>
      <c r="T129">
        <v>-0.19765473802298086</v>
      </c>
      <c r="U129">
        <f t="shared" si="16"/>
        <v>0.83778045360776898</v>
      </c>
    </row>
    <row r="130" spans="1:21">
      <c r="A130">
        <f t="shared" si="17"/>
        <v>129</v>
      </c>
      <c r="B130" s="2">
        <f t="shared" si="18"/>
        <v>69</v>
      </c>
      <c r="C130" s="25">
        <v>43836</v>
      </c>
      <c r="D130" s="26">
        <v>0.81380787037037028</v>
      </c>
      <c r="E130" s="27">
        <v>-8.17</v>
      </c>
      <c r="F130" s="27">
        <v>118.52</v>
      </c>
      <c r="G130" s="36">
        <v>4.4000000000000004</v>
      </c>
      <c r="H130" s="27">
        <v>14</v>
      </c>
      <c r="I130" s="41" t="s">
        <v>10</v>
      </c>
      <c r="J130" s="45" t="s">
        <v>13</v>
      </c>
      <c r="K130">
        <v>386</v>
      </c>
      <c r="L130">
        <f t="shared" si="14"/>
        <v>2</v>
      </c>
      <c r="M130">
        <v>45.650378932391213</v>
      </c>
      <c r="N130">
        <v>47.748896287463104</v>
      </c>
      <c r="O130">
        <f t="shared" ref="O130:O157" si="22">IF(H130&lt;15,0,1)</f>
        <v>0</v>
      </c>
      <c r="P130">
        <f t="shared" ref="P130:P157" si="23">IF(I130="reverse",1,0)</f>
        <v>1</v>
      </c>
      <c r="Q130">
        <f t="shared" ref="Q130:Q157" si="24">IF(L130=1,$W$8,IF(L130=2,$W$9,$W$10))</f>
        <v>1.6830000000000001</v>
      </c>
      <c r="R130">
        <v>0</v>
      </c>
      <c r="S130">
        <f t="shared" si="15"/>
        <v>0.51384855446581001</v>
      </c>
      <c r="T130">
        <v>0.51393701968455652</v>
      </c>
      <c r="U130">
        <f t="shared" si="16"/>
        <v>8.8465218746502927E-5</v>
      </c>
    </row>
    <row r="131" spans="1:21">
      <c r="A131">
        <f t="shared" si="17"/>
        <v>130</v>
      </c>
      <c r="B131" s="2">
        <f t="shared" si="18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36">
        <v>4.4000000000000004</v>
      </c>
      <c r="H131" s="5">
        <v>14</v>
      </c>
      <c r="I131" s="41" t="s">
        <v>10</v>
      </c>
      <c r="J131" s="45" t="s">
        <v>14</v>
      </c>
      <c r="K131">
        <v>290</v>
      </c>
      <c r="L131">
        <f t="shared" ref="L131:L157" si="25">IF(K131&gt;600,1,IF(AND(K131&lt;=600,K131&gt;300),2,3))</f>
        <v>3</v>
      </c>
      <c r="M131">
        <v>43.516837554768216</v>
      </c>
      <c r="N131">
        <v>45.713402310133134</v>
      </c>
      <c r="O131">
        <f t="shared" si="22"/>
        <v>0</v>
      </c>
      <c r="P131">
        <f t="shared" si="23"/>
        <v>1</v>
      </c>
      <c r="Q131">
        <f t="shared" si="24"/>
        <v>1.8080000000000001</v>
      </c>
      <c r="R131">
        <v>0</v>
      </c>
      <c r="S131">
        <f t="shared" ref="S131:S157" si="26">$W$2*G131+$W$3*N131-LN(N131+($W$4*EXP($W$5*G131)))+$W$6*(H131-15)*O131+$W$7*P131+Q131</f>
        <v>0.69415150542597548</v>
      </c>
      <c r="T131">
        <v>1.5488704092525427</v>
      </c>
      <c r="U131">
        <f t="shared" ref="U131:U157" si="27">T131-S131</f>
        <v>0.85471890382656723</v>
      </c>
    </row>
    <row r="132" spans="1:21">
      <c r="A132">
        <f t="shared" ref="A132:A157" si="28">A131+1</f>
        <v>131</v>
      </c>
      <c r="B132" s="2">
        <f t="shared" si="18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36">
        <v>4.4000000000000004</v>
      </c>
      <c r="H132" s="5">
        <v>14</v>
      </c>
      <c r="I132" s="41" t="s">
        <v>10</v>
      </c>
      <c r="J132" s="45" t="s">
        <v>19</v>
      </c>
      <c r="K132">
        <v>283</v>
      </c>
      <c r="L132">
        <f t="shared" si="25"/>
        <v>3</v>
      </c>
      <c r="M132">
        <v>127.96159236009052</v>
      </c>
      <c r="N132">
        <v>128.72516894271291</v>
      </c>
      <c r="O132">
        <f t="shared" si="22"/>
        <v>0</v>
      </c>
      <c r="P132">
        <f t="shared" si="23"/>
        <v>1</v>
      </c>
      <c r="Q132">
        <f t="shared" si="24"/>
        <v>1.8080000000000001</v>
      </c>
      <c r="R132">
        <v>1</v>
      </c>
      <c r="S132">
        <f t="shared" si="26"/>
        <v>-0.56139062355527414</v>
      </c>
      <c r="T132">
        <v>-0.62461370987150255</v>
      </c>
      <c r="U132">
        <f t="shared" si="27"/>
        <v>-6.3223086316228416E-2</v>
      </c>
    </row>
    <row r="133" spans="1:21">
      <c r="A133" s="8">
        <f t="shared" si="28"/>
        <v>132</v>
      </c>
      <c r="B133" s="9">
        <f t="shared" si="18"/>
        <v>69</v>
      </c>
      <c r="C133" s="10">
        <v>43836</v>
      </c>
      <c r="D133" s="11">
        <v>0.81380787037037028</v>
      </c>
      <c r="E133" s="12">
        <v>-8.17</v>
      </c>
      <c r="F133" s="12">
        <v>118.52</v>
      </c>
      <c r="G133" s="37">
        <v>4.4000000000000004</v>
      </c>
      <c r="H133" s="12">
        <v>14</v>
      </c>
      <c r="I133" s="42" t="s">
        <v>10</v>
      </c>
      <c r="J133" s="46" t="s">
        <v>17</v>
      </c>
      <c r="K133">
        <v>1141</v>
      </c>
      <c r="L133">
        <f t="shared" si="25"/>
        <v>1</v>
      </c>
      <c r="M133">
        <v>192.61618215084559</v>
      </c>
      <c r="N133">
        <v>193.12429579513741</v>
      </c>
      <c r="O133">
        <f t="shared" si="22"/>
        <v>0</v>
      </c>
      <c r="P133">
        <f t="shared" si="23"/>
        <v>1</v>
      </c>
      <c r="Q133">
        <f t="shared" si="24"/>
        <v>1.1719999999999999</v>
      </c>
      <c r="R133">
        <v>0</v>
      </c>
      <c r="S133">
        <f t="shared" si="26"/>
        <v>-1.6904060905669833</v>
      </c>
      <c r="T133">
        <v>-1.9653895170946332</v>
      </c>
      <c r="U133">
        <f t="shared" si="27"/>
        <v>-0.27498342652764984</v>
      </c>
    </row>
    <row r="134" spans="1:21">
      <c r="A134">
        <f t="shared" si="28"/>
        <v>133</v>
      </c>
      <c r="B134" s="2">
        <f t="shared" si="18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36">
        <v>4.4000000000000004</v>
      </c>
      <c r="H134" s="5">
        <v>26</v>
      </c>
      <c r="I134" s="41" t="s">
        <v>10</v>
      </c>
      <c r="J134" s="45" t="s">
        <v>14</v>
      </c>
      <c r="K134">
        <v>290</v>
      </c>
      <c r="L134">
        <f t="shared" si="25"/>
        <v>3</v>
      </c>
      <c r="M134">
        <v>93.582452874927512</v>
      </c>
      <c r="N134">
        <v>97.127109944072913</v>
      </c>
      <c r="O134">
        <f t="shared" si="22"/>
        <v>1</v>
      </c>
      <c r="P134">
        <f t="shared" si="23"/>
        <v>1</v>
      </c>
      <c r="Q134">
        <f t="shared" si="24"/>
        <v>1.8080000000000001</v>
      </c>
      <c r="R134">
        <v>0</v>
      </c>
      <c r="S134">
        <f t="shared" si="26"/>
        <v>0.25829958072595471</v>
      </c>
      <c r="T134">
        <v>0.77484174473489342</v>
      </c>
      <c r="U134">
        <f t="shared" si="27"/>
        <v>0.51654216400893871</v>
      </c>
    </row>
    <row r="135" spans="1:21">
      <c r="A135" s="8">
        <f t="shared" si="28"/>
        <v>134</v>
      </c>
      <c r="B135" s="9">
        <f t="shared" ref="B135:B157" si="29">IF(D135=D134,B134,B134+1)</f>
        <v>70</v>
      </c>
      <c r="C135" s="10">
        <v>43879</v>
      </c>
      <c r="D135" s="11">
        <v>0.60881944444444447</v>
      </c>
      <c r="E135" s="12">
        <v>-7.83</v>
      </c>
      <c r="F135" s="12">
        <v>118.82</v>
      </c>
      <c r="G135" s="37">
        <v>4.4000000000000004</v>
      </c>
      <c r="H135" s="12">
        <v>26</v>
      </c>
      <c r="I135" s="42" t="s">
        <v>10</v>
      </c>
      <c r="J135" s="46" t="s">
        <v>17</v>
      </c>
      <c r="K135">
        <v>1141</v>
      </c>
      <c r="L135">
        <f t="shared" si="25"/>
        <v>1</v>
      </c>
      <c r="M135">
        <v>237.77709132514747</v>
      </c>
      <c r="N135">
        <v>239.19436690492424</v>
      </c>
      <c r="O135">
        <f t="shared" si="22"/>
        <v>1</v>
      </c>
      <c r="P135">
        <f t="shared" si="23"/>
        <v>1</v>
      </c>
      <c r="Q135">
        <f t="shared" si="24"/>
        <v>1.1719999999999999</v>
      </c>
      <c r="R135">
        <v>1</v>
      </c>
      <c r="S135">
        <f t="shared" si="26"/>
        <v>-1.4756831910294366</v>
      </c>
      <c r="T135">
        <v>-2.5905231721609825</v>
      </c>
      <c r="U135">
        <f t="shared" si="27"/>
        <v>-1.1148399811315459</v>
      </c>
    </row>
    <row r="136" spans="1:21">
      <c r="A136">
        <f t="shared" si="28"/>
        <v>135</v>
      </c>
      <c r="B136" s="2">
        <f t="shared" si="29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36">
        <v>3.6</v>
      </c>
      <c r="H136" s="5">
        <v>10</v>
      </c>
      <c r="I136" s="41" t="s">
        <v>10</v>
      </c>
      <c r="J136" s="45" t="s">
        <v>14</v>
      </c>
      <c r="K136">
        <v>290</v>
      </c>
      <c r="L136">
        <f t="shared" si="25"/>
        <v>3</v>
      </c>
      <c r="M136">
        <v>191.64887216059438</v>
      </c>
      <c r="N136">
        <v>191.90958860991768</v>
      </c>
      <c r="O136">
        <f t="shared" si="22"/>
        <v>0</v>
      </c>
      <c r="P136">
        <f t="shared" si="23"/>
        <v>1</v>
      </c>
      <c r="Q136">
        <f t="shared" si="24"/>
        <v>1.8080000000000001</v>
      </c>
      <c r="R136">
        <v>0</v>
      </c>
      <c r="S136">
        <f t="shared" si="26"/>
        <v>-1.7368420845875814</v>
      </c>
      <c r="T136">
        <v>-2.1657636050305826</v>
      </c>
      <c r="U136">
        <f t="shared" si="27"/>
        <v>-0.42892152044300125</v>
      </c>
    </row>
    <row r="137" spans="1:21">
      <c r="A137">
        <f t="shared" si="28"/>
        <v>136</v>
      </c>
      <c r="B137" s="2">
        <f t="shared" si="29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36">
        <v>3.6</v>
      </c>
      <c r="H137" s="5">
        <v>10</v>
      </c>
      <c r="I137" s="41" t="s">
        <v>10</v>
      </c>
      <c r="J137" s="45" t="s">
        <v>17</v>
      </c>
      <c r="K137">
        <v>1141</v>
      </c>
      <c r="L137">
        <f t="shared" si="25"/>
        <v>1</v>
      </c>
      <c r="M137">
        <v>49.632687466105466</v>
      </c>
      <c r="N137">
        <v>50.63006680923997</v>
      </c>
      <c r="O137">
        <f t="shared" si="22"/>
        <v>0</v>
      </c>
      <c r="P137">
        <f t="shared" si="23"/>
        <v>1</v>
      </c>
      <c r="Q137">
        <f t="shared" si="24"/>
        <v>1.1719999999999999</v>
      </c>
      <c r="R137">
        <v>1</v>
      </c>
      <c r="S137">
        <f t="shared" si="26"/>
        <v>-0.82696633152965093</v>
      </c>
      <c r="T137">
        <v>-1.2261262927476468</v>
      </c>
      <c r="U137">
        <f t="shared" si="27"/>
        <v>-0.39915996121799591</v>
      </c>
    </row>
    <row r="138" spans="1:21">
      <c r="A138">
        <f t="shared" si="28"/>
        <v>137</v>
      </c>
      <c r="B138" s="2">
        <f t="shared" si="29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36">
        <v>3.8</v>
      </c>
      <c r="H138" s="5">
        <v>12</v>
      </c>
      <c r="I138" s="41" t="s">
        <v>10</v>
      </c>
      <c r="J138" s="45" t="s">
        <v>14</v>
      </c>
      <c r="K138">
        <v>290</v>
      </c>
      <c r="L138">
        <f t="shared" si="25"/>
        <v>3</v>
      </c>
      <c r="M138">
        <v>231.58708017250825</v>
      </c>
      <c r="N138">
        <v>231.89776993931565</v>
      </c>
      <c r="O138">
        <f t="shared" si="22"/>
        <v>0</v>
      </c>
      <c r="P138">
        <f t="shared" si="23"/>
        <v>1</v>
      </c>
      <c r="Q138">
        <f t="shared" si="24"/>
        <v>1.8080000000000001</v>
      </c>
      <c r="R138">
        <v>1</v>
      </c>
      <c r="S138">
        <f t="shared" si="26"/>
        <v>-1.7994508265056062</v>
      </c>
      <c r="T138">
        <v>-2.4387064025923428</v>
      </c>
      <c r="U138">
        <f t="shared" si="27"/>
        <v>-0.63925557608673667</v>
      </c>
    </row>
    <row r="139" spans="1:21">
      <c r="A139">
        <f t="shared" si="28"/>
        <v>138</v>
      </c>
      <c r="B139" s="2">
        <f t="shared" si="29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36">
        <v>3.8</v>
      </c>
      <c r="H139" s="5">
        <v>12</v>
      </c>
      <c r="I139" s="41" t="s">
        <v>10</v>
      </c>
      <c r="J139" s="45" t="s">
        <v>15</v>
      </c>
      <c r="K139">
        <v>210</v>
      </c>
      <c r="L139">
        <f t="shared" si="25"/>
        <v>3</v>
      </c>
      <c r="M139">
        <v>23.286409728284827</v>
      </c>
      <c r="N139">
        <v>26.196505072882495</v>
      </c>
      <c r="O139">
        <f t="shared" si="22"/>
        <v>0</v>
      </c>
      <c r="P139">
        <f t="shared" si="23"/>
        <v>1</v>
      </c>
      <c r="Q139">
        <f t="shared" si="24"/>
        <v>1.8080000000000001</v>
      </c>
      <c r="R139">
        <v>0</v>
      </c>
      <c r="S139">
        <f t="shared" si="26"/>
        <v>0.79608864020196268</v>
      </c>
      <c r="T139">
        <v>-0.28359249534247993</v>
      </c>
      <c r="U139">
        <f t="shared" si="27"/>
        <v>-1.0796811355444427</v>
      </c>
    </row>
    <row r="140" spans="1:21">
      <c r="A140">
        <f t="shared" si="28"/>
        <v>139</v>
      </c>
      <c r="B140" s="2">
        <f t="shared" si="29"/>
        <v>72</v>
      </c>
      <c r="C140" s="24">
        <v>43892</v>
      </c>
      <c r="D140" s="4">
        <v>0.968287037037037</v>
      </c>
      <c r="E140" s="5">
        <v>-8.4</v>
      </c>
      <c r="F140" s="5">
        <v>116.23</v>
      </c>
      <c r="G140" s="36">
        <v>3.8</v>
      </c>
      <c r="H140" s="5">
        <v>12</v>
      </c>
      <c r="I140" s="2" t="s">
        <v>10</v>
      </c>
      <c r="J140" s="45" t="s">
        <v>16</v>
      </c>
      <c r="K140">
        <v>770</v>
      </c>
      <c r="L140">
        <f t="shared" si="25"/>
        <v>1</v>
      </c>
      <c r="M140">
        <v>41.034935023077367</v>
      </c>
      <c r="N140">
        <v>42.753548301260111</v>
      </c>
      <c r="O140">
        <f t="shared" si="22"/>
        <v>0</v>
      </c>
      <c r="P140">
        <f t="shared" si="23"/>
        <v>1</v>
      </c>
      <c r="Q140">
        <f t="shared" si="24"/>
        <v>1.1719999999999999</v>
      </c>
      <c r="R140">
        <v>0</v>
      </c>
      <c r="S140">
        <f t="shared" si="26"/>
        <v>-0.44354617069752411</v>
      </c>
      <c r="T140">
        <v>-1.6797710431380377</v>
      </c>
      <c r="U140">
        <f t="shared" si="27"/>
        <v>-1.2362248724405136</v>
      </c>
    </row>
    <row r="141" spans="1:21">
      <c r="A141">
        <f t="shared" si="28"/>
        <v>140</v>
      </c>
      <c r="B141" s="2">
        <f t="shared" si="29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36">
        <v>3.8</v>
      </c>
      <c r="H141" s="5">
        <v>12</v>
      </c>
      <c r="I141" s="41" t="s">
        <v>10</v>
      </c>
      <c r="J141" s="45" t="s">
        <v>19</v>
      </c>
      <c r="K141">
        <v>283</v>
      </c>
      <c r="L141">
        <f t="shared" si="25"/>
        <v>3</v>
      </c>
      <c r="M141">
        <v>131.79443249974477</v>
      </c>
      <c r="N141">
        <v>132.33961023793964</v>
      </c>
      <c r="O141">
        <f t="shared" si="22"/>
        <v>0</v>
      </c>
      <c r="P141">
        <f t="shared" si="23"/>
        <v>1</v>
      </c>
      <c r="Q141">
        <f t="shared" si="24"/>
        <v>1.8080000000000001</v>
      </c>
      <c r="R141">
        <v>1</v>
      </c>
      <c r="S141">
        <f t="shared" si="26"/>
        <v>-1.1212281527621923</v>
      </c>
      <c r="T141">
        <v>-2.1456906636547486</v>
      </c>
      <c r="U141">
        <f t="shared" si="27"/>
        <v>-1.0244625108925562</v>
      </c>
    </row>
    <row r="142" spans="1:21">
      <c r="A142">
        <f t="shared" si="28"/>
        <v>141</v>
      </c>
      <c r="B142" s="2">
        <f t="shared" si="29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36">
        <v>3.8</v>
      </c>
      <c r="H142" s="5">
        <v>12</v>
      </c>
      <c r="I142" s="41" t="s">
        <v>10</v>
      </c>
      <c r="J142" s="45" t="s">
        <v>17</v>
      </c>
      <c r="K142">
        <v>1141</v>
      </c>
      <c r="L142">
        <f t="shared" si="25"/>
        <v>1</v>
      </c>
      <c r="M142">
        <v>81.597304805416869</v>
      </c>
      <c r="N142">
        <v>82.474966817259812</v>
      </c>
      <c r="O142">
        <f t="shared" si="22"/>
        <v>0</v>
      </c>
      <c r="P142">
        <f t="shared" si="23"/>
        <v>1</v>
      </c>
      <c r="Q142">
        <f t="shared" si="24"/>
        <v>1.1719999999999999</v>
      </c>
      <c r="R142">
        <v>1</v>
      </c>
      <c r="S142">
        <f t="shared" si="26"/>
        <v>-1.2083685940867059</v>
      </c>
      <c r="T142">
        <v>-1.7755609050184873</v>
      </c>
      <c r="U142">
        <f t="shared" si="27"/>
        <v>-0.56719231093178135</v>
      </c>
    </row>
    <row r="143" spans="1:21">
      <c r="A143">
        <f t="shared" si="28"/>
        <v>142</v>
      </c>
      <c r="B143" s="2">
        <f t="shared" si="29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36">
        <v>4.2</v>
      </c>
      <c r="H143" s="5">
        <v>16</v>
      </c>
      <c r="I143" s="41" t="s">
        <v>10</v>
      </c>
      <c r="J143" s="45" t="s">
        <v>14</v>
      </c>
      <c r="K143">
        <v>290</v>
      </c>
      <c r="L143">
        <f t="shared" si="25"/>
        <v>3</v>
      </c>
      <c r="M143">
        <v>236.87368372963641</v>
      </c>
      <c r="N143">
        <v>237.41344116045286</v>
      </c>
      <c r="O143">
        <f t="shared" si="22"/>
        <v>1</v>
      </c>
      <c r="P143">
        <f t="shared" si="23"/>
        <v>1</v>
      </c>
      <c r="Q143">
        <f t="shared" si="24"/>
        <v>1.8080000000000001</v>
      </c>
      <c r="R143">
        <v>1</v>
      </c>
      <c r="S143">
        <f t="shared" si="26"/>
        <v>-1.4420580262132228</v>
      </c>
      <c r="T143">
        <v>-1.2348074673591445</v>
      </c>
      <c r="U143">
        <f t="shared" si="27"/>
        <v>0.20725055885407828</v>
      </c>
    </row>
    <row r="144" spans="1:21">
      <c r="A144">
        <f t="shared" si="28"/>
        <v>143</v>
      </c>
      <c r="B144" s="2">
        <f t="shared" si="29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36">
        <v>4.2</v>
      </c>
      <c r="H144" s="5">
        <v>16</v>
      </c>
      <c r="I144" s="41" t="s">
        <v>10</v>
      </c>
      <c r="J144" s="45" t="s">
        <v>19</v>
      </c>
      <c r="K144">
        <v>283</v>
      </c>
      <c r="L144">
        <f t="shared" si="25"/>
        <v>3</v>
      </c>
      <c r="M144">
        <v>138.25826990140519</v>
      </c>
      <c r="N144">
        <v>139.18099437829076</v>
      </c>
      <c r="O144">
        <f t="shared" si="22"/>
        <v>1</v>
      </c>
      <c r="P144">
        <f t="shared" si="23"/>
        <v>1</v>
      </c>
      <c r="Q144">
        <f t="shared" si="24"/>
        <v>1.8080000000000001</v>
      </c>
      <c r="R144">
        <v>1</v>
      </c>
      <c r="S144">
        <f t="shared" si="26"/>
        <v>-0.78759157176777816</v>
      </c>
      <c r="T144">
        <v>-0.78768315135639644</v>
      </c>
      <c r="U144">
        <f t="shared" si="27"/>
        <v>-9.1579588618273533E-5</v>
      </c>
    </row>
    <row r="145" spans="1:21">
      <c r="A145">
        <f t="shared" si="28"/>
        <v>144</v>
      </c>
      <c r="B145" s="2">
        <f t="shared" si="29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36">
        <v>4.8</v>
      </c>
      <c r="H145" s="5">
        <v>10</v>
      </c>
      <c r="I145" s="41" t="s">
        <v>10</v>
      </c>
      <c r="J145" s="45" t="s">
        <v>14</v>
      </c>
      <c r="K145">
        <v>290</v>
      </c>
      <c r="L145">
        <f t="shared" si="25"/>
        <v>3</v>
      </c>
      <c r="M145">
        <v>160.37359502632646</v>
      </c>
      <c r="N145">
        <v>160.68506458805734</v>
      </c>
      <c r="O145">
        <f t="shared" si="22"/>
        <v>0</v>
      </c>
      <c r="P145">
        <f t="shared" si="23"/>
        <v>1</v>
      </c>
      <c r="Q145">
        <f t="shared" si="24"/>
        <v>1.8080000000000001</v>
      </c>
      <c r="R145">
        <v>0</v>
      </c>
      <c r="S145">
        <f t="shared" si="26"/>
        <v>-0.47464201718142518</v>
      </c>
      <c r="T145">
        <v>0.48638153325115541</v>
      </c>
      <c r="U145">
        <f t="shared" si="27"/>
        <v>0.96102355043258059</v>
      </c>
    </row>
    <row r="146" spans="1:21">
      <c r="A146">
        <f t="shared" si="28"/>
        <v>145</v>
      </c>
      <c r="B146" s="2">
        <f t="shared" si="29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36">
        <v>3.5</v>
      </c>
      <c r="H146" s="5">
        <v>10</v>
      </c>
      <c r="I146" s="41" t="s">
        <v>10</v>
      </c>
      <c r="J146" s="45" t="s">
        <v>14</v>
      </c>
      <c r="K146">
        <v>290</v>
      </c>
      <c r="L146">
        <f t="shared" si="25"/>
        <v>3</v>
      </c>
      <c r="M146">
        <v>92.159817959932795</v>
      </c>
      <c r="N146">
        <v>92.700766158689063</v>
      </c>
      <c r="O146">
        <f t="shared" si="22"/>
        <v>0</v>
      </c>
      <c r="P146">
        <f t="shared" si="23"/>
        <v>1</v>
      </c>
      <c r="Q146">
        <f t="shared" si="24"/>
        <v>1.8080000000000001</v>
      </c>
      <c r="R146">
        <v>0</v>
      </c>
      <c r="S146">
        <f t="shared" si="26"/>
        <v>-0.97075543170716538</v>
      </c>
      <c r="T146">
        <v>-0.71419987999933821</v>
      </c>
      <c r="U146">
        <f t="shared" si="27"/>
        <v>0.25655555170782718</v>
      </c>
    </row>
    <row r="147" spans="1:21">
      <c r="A147">
        <f t="shared" si="28"/>
        <v>146</v>
      </c>
      <c r="B147" s="2">
        <f t="shared" si="29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36">
        <v>3.5</v>
      </c>
      <c r="H147" s="5">
        <v>10</v>
      </c>
      <c r="I147" s="41" t="s">
        <v>10</v>
      </c>
      <c r="J147" s="45" t="s">
        <v>17</v>
      </c>
      <c r="K147">
        <v>1141</v>
      </c>
      <c r="L147">
        <f t="shared" si="25"/>
        <v>1</v>
      </c>
      <c r="M147">
        <v>85.711155793911104</v>
      </c>
      <c r="N147">
        <v>86.292538655019882</v>
      </c>
      <c r="O147">
        <f t="shared" si="22"/>
        <v>0</v>
      </c>
      <c r="P147">
        <f t="shared" si="23"/>
        <v>1</v>
      </c>
      <c r="Q147">
        <f t="shared" si="24"/>
        <v>1.1719999999999999</v>
      </c>
      <c r="R147">
        <v>0</v>
      </c>
      <c r="S147">
        <f t="shared" si="26"/>
        <v>-1.5250582246223494</v>
      </c>
      <c r="T147">
        <v>-2.1596205304107481</v>
      </c>
      <c r="U147">
        <f t="shared" si="27"/>
        <v>-0.63456230578839867</v>
      </c>
    </row>
    <row r="148" spans="1:21">
      <c r="A148">
        <f t="shared" si="28"/>
        <v>147</v>
      </c>
      <c r="B148" s="2">
        <f t="shared" si="29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36">
        <v>4.2</v>
      </c>
      <c r="H148" s="5">
        <v>10</v>
      </c>
      <c r="I148" s="41" t="s">
        <v>10</v>
      </c>
      <c r="J148" s="45" t="s">
        <v>14</v>
      </c>
      <c r="K148">
        <v>290</v>
      </c>
      <c r="L148">
        <f t="shared" si="25"/>
        <v>3</v>
      </c>
      <c r="M148">
        <v>190.05302625038044</v>
      </c>
      <c r="N148">
        <v>190.31592888386353</v>
      </c>
      <c r="O148">
        <f t="shared" si="22"/>
        <v>0</v>
      </c>
      <c r="P148">
        <f t="shared" si="23"/>
        <v>1</v>
      </c>
      <c r="Q148">
        <f t="shared" si="24"/>
        <v>1.8080000000000001</v>
      </c>
      <c r="R148">
        <v>0</v>
      </c>
      <c r="S148">
        <f t="shared" si="26"/>
        <v>-1.2101297173135774</v>
      </c>
      <c r="T148">
        <v>-1.5114657446128623</v>
      </c>
      <c r="U148">
        <f t="shared" si="27"/>
        <v>-0.30133602729928488</v>
      </c>
    </row>
    <row r="149" spans="1:21">
      <c r="A149">
        <f t="shared" si="28"/>
        <v>148</v>
      </c>
      <c r="B149" s="2">
        <f t="shared" si="29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36">
        <v>4.2</v>
      </c>
      <c r="H149" s="5">
        <v>10</v>
      </c>
      <c r="I149" s="41" t="s">
        <v>10</v>
      </c>
      <c r="J149" s="45" t="s">
        <v>17</v>
      </c>
      <c r="K149">
        <v>1141</v>
      </c>
      <c r="L149">
        <f t="shared" si="25"/>
        <v>1</v>
      </c>
      <c r="M149">
        <v>61.54635269622478</v>
      </c>
      <c r="N149">
        <v>62.353456441548573</v>
      </c>
      <c r="O149">
        <f t="shared" si="22"/>
        <v>0</v>
      </c>
      <c r="P149">
        <f t="shared" si="23"/>
        <v>1</v>
      </c>
      <c r="Q149">
        <f t="shared" si="24"/>
        <v>1.1719999999999999</v>
      </c>
      <c r="R149">
        <v>0</v>
      </c>
      <c r="S149">
        <f t="shared" si="26"/>
        <v>-0.51704624382344155</v>
      </c>
      <c r="T149">
        <v>7.9950241267464014E-2</v>
      </c>
      <c r="U149">
        <f t="shared" si="27"/>
        <v>0.59699648509090553</v>
      </c>
    </row>
    <row r="150" spans="1:21">
      <c r="A150">
        <f t="shared" si="28"/>
        <v>149</v>
      </c>
      <c r="B150" s="2">
        <f t="shared" si="29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36">
        <v>3.9</v>
      </c>
      <c r="H150" s="5">
        <v>10</v>
      </c>
      <c r="I150" s="41" t="s">
        <v>10</v>
      </c>
      <c r="J150" s="45" t="s">
        <v>14</v>
      </c>
      <c r="K150">
        <v>290</v>
      </c>
      <c r="L150">
        <f t="shared" si="25"/>
        <v>3</v>
      </c>
      <c r="M150">
        <v>107.68058281077444</v>
      </c>
      <c r="N150">
        <v>108.14392222620766</v>
      </c>
      <c r="O150">
        <f t="shared" si="22"/>
        <v>0</v>
      </c>
      <c r="P150">
        <f t="shared" si="23"/>
        <v>1</v>
      </c>
      <c r="Q150">
        <f t="shared" si="24"/>
        <v>1.8080000000000001</v>
      </c>
      <c r="R150">
        <v>0</v>
      </c>
      <c r="S150">
        <f t="shared" si="26"/>
        <v>-0.79776773092059527</v>
      </c>
      <c r="T150">
        <v>-0.92999287809123832</v>
      </c>
      <c r="U150">
        <f t="shared" si="27"/>
        <v>-0.13222514717064304</v>
      </c>
    </row>
    <row r="151" spans="1:21">
      <c r="A151" s="8">
        <f t="shared" si="28"/>
        <v>150</v>
      </c>
      <c r="B151" s="9">
        <f t="shared" si="29"/>
        <v>78</v>
      </c>
      <c r="C151" s="10">
        <v>44176</v>
      </c>
      <c r="D151" s="11">
        <v>0.53548611111182254</v>
      </c>
      <c r="E151" s="12">
        <v>-8.27</v>
      </c>
      <c r="F151" s="12">
        <v>116.53</v>
      </c>
      <c r="G151" s="37">
        <v>3.9</v>
      </c>
      <c r="H151" s="12">
        <v>11</v>
      </c>
      <c r="I151" s="42" t="s">
        <v>10</v>
      </c>
      <c r="J151" s="46" t="s">
        <v>14</v>
      </c>
      <c r="K151">
        <v>290</v>
      </c>
      <c r="L151">
        <f t="shared" si="25"/>
        <v>3</v>
      </c>
      <c r="M151">
        <v>199.64956279833908</v>
      </c>
      <c r="N151">
        <v>199.95236414098218</v>
      </c>
      <c r="O151">
        <f t="shared" si="22"/>
        <v>0</v>
      </c>
      <c r="P151">
        <f t="shared" si="23"/>
        <v>1</v>
      </c>
      <c r="Q151">
        <f t="shared" si="24"/>
        <v>1.8080000000000001</v>
      </c>
      <c r="R151">
        <v>0</v>
      </c>
      <c r="S151">
        <f t="shared" si="26"/>
        <v>-1.5297393944732167</v>
      </c>
      <c r="T151">
        <v>-2.1727242742898865</v>
      </c>
      <c r="U151">
        <f t="shared" si="27"/>
        <v>-0.64298487981666974</v>
      </c>
    </row>
    <row r="152" spans="1:21">
      <c r="A152">
        <f t="shared" si="28"/>
        <v>151</v>
      </c>
      <c r="B152" s="2">
        <f t="shared" si="29"/>
        <v>79</v>
      </c>
      <c r="C152" s="25">
        <v>44274</v>
      </c>
      <c r="D152" s="26">
        <v>0.68978009259444661</v>
      </c>
      <c r="E152" s="27">
        <v>-7.83</v>
      </c>
      <c r="F152" s="27">
        <v>118.78</v>
      </c>
      <c r="G152" s="36">
        <v>4.5</v>
      </c>
      <c r="H152" s="27">
        <v>26</v>
      </c>
      <c r="I152" s="41" t="s">
        <v>10</v>
      </c>
      <c r="J152" s="45" t="s">
        <v>13</v>
      </c>
      <c r="K152">
        <v>386</v>
      </c>
      <c r="L152">
        <f t="shared" si="25"/>
        <v>2</v>
      </c>
      <c r="M152">
        <v>79.768739281944931</v>
      </c>
      <c r="N152">
        <v>83.899057006803744</v>
      </c>
      <c r="O152">
        <f t="shared" si="22"/>
        <v>1</v>
      </c>
      <c r="P152">
        <f t="shared" si="23"/>
        <v>1</v>
      </c>
      <c r="Q152">
        <f t="shared" si="24"/>
        <v>1.6830000000000001</v>
      </c>
      <c r="R152">
        <v>0</v>
      </c>
      <c r="S152">
        <f t="shared" si="26"/>
        <v>0.40053382473844423</v>
      </c>
      <c r="T152">
        <v>0.9951270558091605</v>
      </c>
      <c r="U152">
        <f t="shared" si="27"/>
        <v>0.59459323107071627</v>
      </c>
    </row>
    <row r="153" spans="1:21">
      <c r="A153">
        <f t="shared" si="28"/>
        <v>152</v>
      </c>
      <c r="B153" s="2">
        <f t="shared" si="29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36">
        <v>4.5</v>
      </c>
      <c r="H153" s="5">
        <v>26</v>
      </c>
      <c r="I153" s="41" t="s">
        <v>10</v>
      </c>
      <c r="J153" s="45" t="s">
        <v>19</v>
      </c>
      <c r="K153">
        <v>283</v>
      </c>
      <c r="L153">
        <f t="shared" si="25"/>
        <v>3</v>
      </c>
      <c r="M153">
        <v>168.55202854350387</v>
      </c>
      <c r="N153">
        <v>170.54555498789802</v>
      </c>
      <c r="O153">
        <f t="shared" si="22"/>
        <v>1</v>
      </c>
      <c r="P153">
        <f t="shared" si="23"/>
        <v>1</v>
      </c>
      <c r="Q153">
        <f t="shared" si="24"/>
        <v>1.8080000000000001</v>
      </c>
      <c r="R153">
        <v>1</v>
      </c>
      <c r="S153">
        <f t="shared" si="26"/>
        <v>-0.33045189150789001</v>
      </c>
      <c r="T153">
        <v>7.3318579520249061E-2</v>
      </c>
      <c r="U153">
        <f t="shared" si="27"/>
        <v>0.40377047102813907</v>
      </c>
    </row>
    <row r="154" spans="1:21">
      <c r="A154" s="8">
        <f t="shared" si="28"/>
        <v>153</v>
      </c>
      <c r="B154" s="9">
        <f t="shared" si="29"/>
        <v>79</v>
      </c>
      <c r="C154" s="10">
        <v>44274</v>
      </c>
      <c r="D154" s="11">
        <v>0.68978009259444661</v>
      </c>
      <c r="E154" s="12">
        <v>-7.83</v>
      </c>
      <c r="F154" s="12">
        <v>118.78</v>
      </c>
      <c r="G154" s="37">
        <v>4.5</v>
      </c>
      <c r="H154" s="12">
        <v>26</v>
      </c>
      <c r="I154" s="42" t="s">
        <v>10</v>
      </c>
      <c r="J154" s="46" t="s">
        <v>17</v>
      </c>
      <c r="K154">
        <v>1141</v>
      </c>
      <c r="L154">
        <f t="shared" si="25"/>
        <v>1</v>
      </c>
      <c r="M154">
        <v>233.7605677111687</v>
      </c>
      <c r="N154">
        <v>235.20204722035879</v>
      </c>
      <c r="O154">
        <f t="shared" si="22"/>
        <v>1</v>
      </c>
      <c r="P154">
        <f t="shared" si="23"/>
        <v>1</v>
      </c>
      <c r="Q154">
        <f t="shared" si="24"/>
        <v>1.1719999999999999</v>
      </c>
      <c r="R154">
        <v>1</v>
      </c>
      <c r="S154">
        <f t="shared" si="26"/>
        <v>-1.3676567491187208</v>
      </c>
      <c r="T154">
        <v>-1.5656459529818587</v>
      </c>
      <c r="U154">
        <f t="shared" si="27"/>
        <v>-0.1979892038631379</v>
      </c>
    </row>
    <row r="155" spans="1:21">
      <c r="A155">
        <f t="shared" si="28"/>
        <v>154</v>
      </c>
      <c r="B155" s="2">
        <f t="shared" si="29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36">
        <v>3.5</v>
      </c>
      <c r="H155" s="5">
        <v>10</v>
      </c>
      <c r="I155" s="41" t="s">
        <v>10</v>
      </c>
      <c r="J155" s="45" t="s">
        <v>14</v>
      </c>
      <c r="K155">
        <v>290</v>
      </c>
      <c r="L155">
        <f t="shared" si="25"/>
        <v>3</v>
      </c>
      <c r="M155">
        <v>103.32560484404641</v>
      </c>
      <c r="N155">
        <v>103.80838413340238</v>
      </c>
      <c r="O155">
        <f t="shared" si="22"/>
        <v>0</v>
      </c>
      <c r="P155">
        <f t="shared" si="23"/>
        <v>1</v>
      </c>
      <c r="Q155">
        <f t="shared" si="24"/>
        <v>1.8080000000000001</v>
      </c>
      <c r="R155">
        <v>0</v>
      </c>
      <c r="S155">
        <f t="shared" si="26"/>
        <v>-1.100264628979432</v>
      </c>
      <c r="T155">
        <v>-0.51865994052845887</v>
      </c>
      <c r="U155">
        <f t="shared" si="27"/>
        <v>0.58160468845097313</v>
      </c>
    </row>
    <row r="156" spans="1:21">
      <c r="A156" s="13">
        <f t="shared" si="28"/>
        <v>155</v>
      </c>
      <c r="B156" s="14">
        <f t="shared" si="29"/>
        <v>81</v>
      </c>
      <c r="C156" s="32">
        <v>43331</v>
      </c>
      <c r="D156" s="33">
        <v>0.62263425925925919</v>
      </c>
      <c r="E156" s="34">
        <v>-8.27</v>
      </c>
      <c r="F156" s="35">
        <v>116.67</v>
      </c>
      <c r="G156" s="40">
        <v>6.9</v>
      </c>
      <c r="H156" s="39">
        <v>22</v>
      </c>
      <c r="I156" s="44" t="s">
        <v>10</v>
      </c>
      <c r="J156" s="47" t="s">
        <v>17</v>
      </c>
      <c r="K156">
        <v>1141</v>
      </c>
      <c r="L156">
        <f t="shared" si="25"/>
        <v>1</v>
      </c>
      <c r="M156">
        <v>57.090874097075393</v>
      </c>
      <c r="N156">
        <v>61.183068778609936</v>
      </c>
      <c r="O156">
        <f t="shared" si="22"/>
        <v>1</v>
      </c>
      <c r="P156">
        <f t="shared" si="23"/>
        <v>1</v>
      </c>
      <c r="Q156">
        <f t="shared" si="24"/>
        <v>1.1719999999999999</v>
      </c>
      <c r="R156">
        <v>0</v>
      </c>
      <c r="S156">
        <f t="shared" si="26"/>
        <v>4.0683908000161715</v>
      </c>
      <c r="T156">
        <v>4.9224190654852116</v>
      </c>
      <c r="U156">
        <f t="shared" si="27"/>
        <v>0.85402826546904009</v>
      </c>
    </row>
    <row r="157" spans="1:21">
      <c r="A157" s="13">
        <f t="shared" si="28"/>
        <v>156</v>
      </c>
      <c r="B157" s="14">
        <f t="shared" si="29"/>
        <v>81</v>
      </c>
      <c r="C157" s="32">
        <v>43331</v>
      </c>
      <c r="D157" s="33">
        <v>0.62263425925925919</v>
      </c>
      <c r="E157" s="34">
        <v>-8.27</v>
      </c>
      <c r="F157" s="35">
        <v>116.67</v>
      </c>
      <c r="G157" s="40">
        <v>6.9</v>
      </c>
      <c r="H157" s="39">
        <v>22</v>
      </c>
      <c r="I157" s="44" t="s">
        <v>10</v>
      </c>
      <c r="J157" s="47" t="s">
        <v>16</v>
      </c>
      <c r="K157">
        <v>770</v>
      </c>
      <c r="L157">
        <f t="shared" si="25"/>
        <v>1</v>
      </c>
      <c r="M157">
        <v>70.184466740784501</v>
      </c>
      <c r="N157">
        <v>73.551746217804279</v>
      </c>
      <c r="O157">
        <f t="shared" si="22"/>
        <v>1</v>
      </c>
      <c r="P157">
        <f t="shared" si="23"/>
        <v>1</v>
      </c>
      <c r="Q157">
        <f t="shared" si="24"/>
        <v>1.1719999999999999</v>
      </c>
      <c r="R157">
        <v>1</v>
      </c>
      <c r="S157">
        <f t="shared" si="26"/>
        <v>3.0669676785537545</v>
      </c>
      <c r="T157">
        <v>2.9229528135896508</v>
      </c>
      <c r="U157">
        <f t="shared" si="27"/>
        <v>-0.14401486496410376</v>
      </c>
    </row>
    <row r="158" spans="1:21">
      <c r="A158" s="13"/>
      <c r="B158" s="14"/>
      <c r="C158" s="32"/>
      <c r="D158" s="33"/>
      <c r="E158" s="34"/>
      <c r="F158" s="35"/>
      <c r="G158" s="40"/>
      <c r="H158" s="39"/>
      <c r="I158" s="44"/>
      <c r="J158" s="47"/>
    </row>
    <row r="160" spans="1:21">
      <c r="U160" s="5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389D-5855-5D4E-905F-5D4969EF86EB}">
  <dimension ref="A1:Z160"/>
  <sheetViews>
    <sheetView tabSelected="1" workbookViewId="0">
      <selection activeCell="W2" sqref="W2:W10"/>
    </sheetView>
  </sheetViews>
  <sheetFormatPr baseColWidth="10" defaultColWidth="11" defaultRowHeight="16"/>
  <cols>
    <col min="18" max="18" width="10.33203125" customWidth="1"/>
    <col min="21" max="21" width="11.6640625" bestFit="1" customWidth="1"/>
  </cols>
  <sheetData>
    <row r="1" spans="1:23" ht="28">
      <c r="A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22</v>
      </c>
      <c r="I1" s="1" t="s">
        <v>8</v>
      </c>
      <c r="J1" s="1" t="s">
        <v>12</v>
      </c>
      <c r="K1" s="1" t="s">
        <v>20</v>
      </c>
      <c r="L1" s="1" t="s">
        <v>35</v>
      </c>
      <c r="M1" s="1" t="s">
        <v>21</v>
      </c>
      <c r="N1" s="1" t="s">
        <v>23</v>
      </c>
      <c r="O1" s="48" t="s">
        <v>39</v>
      </c>
      <c r="P1" s="48" t="s">
        <v>40</v>
      </c>
      <c r="Q1" s="48" t="s">
        <v>34</v>
      </c>
      <c r="R1" s="52" t="s">
        <v>38</v>
      </c>
      <c r="S1" s="48" t="s">
        <v>36</v>
      </c>
      <c r="T1" s="48" t="s">
        <v>37</v>
      </c>
      <c r="U1" s="48" t="s">
        <v>44</v>
      </c>
      <c r="V1" s="49" t="s">
        <v>25</v>
      </c>
    </row>
    <row r="2" spans="1:23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36">
        <v>5.5</v>
      </c>
      <c r="H2" s="5">
        <v>22</v>
      </c>
      <c r="I2" s="41" t="s">
        <v>9</v>
      </c>
      <c r="J2" s="45" t="s">
        <v>13</v>
      </c>
      <c r="K2">
        <v>386</v>
      </c>
      <c r="L2">
        <f>IF(K2&gt;600,1,IF(AND(K2&lt;=600,K2&gt;300),2,3))</f>
        <v>2</v>
      </c>
      <c r="M2">
        <v>97.42375977291556</v>
      </c>
      <c r="N2">
        <v>99.87686903528143</v>
      </c>
      <c r="O2">
        <f t="shared" ref="O2:O33" si="0">IF(H2&lt;15,0,1)</f>
        <v>1</v>
      </c>
      <c r="P2">
        <f t="shared" ref="P2:P33" si="1">IF(I2="reverse",1,0)</f>
        <v>0</v>
      </c>
      <c r="Q2">
        <f t="shared" ref="Q2:Q33" si="2">IF(L2=1,$W$8,IF(L2=2,$W$9,$W$10))</f>
        <v>-1.776</v>
      </c>
      <c r="R2">
        <v>1</v>
      </c>
      <c r="S2">
        <f>$W$2*G2+$W$3*N2-LN(N2+($W$4*EXP($W$5*G2)))+$W$6*(H2-15)*O2+$W$7*P2+Q2</f>
        <v>0.85474772080366512</v>
      </c>
      <c r="T2">
        <v>1.353030758167495</v>
      </c>
      <c r="U2">
        <f>T2-S2</f>
        <v>0.49828303736382984</v>
      </c>
      <c r="V2" s="53" t="s">
        <v>26</v>
      </c>
      <c r="W2">
        <v>1.2658638942682201</v>
      </c>
    </row>
    <row r="3" spans="1:23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36">
        <v>5.5</v>
      </c>
      <c r="H3" s="5">
        <v>22</v>
      </c>
      <c r="I3" s="41" t="s">
        <v>9</v>
      </c>
      <c r="J3" s="45" t="s">
        <v>14</v>
      </c>
      <c r="K3">
        <v>290</v>
      </c>
      <c r="L3">
        <f t="shared" ref="L3:L66" si="3">IF(K3&gt;600,1,IF(AND(K3&lt;=600,K3&gt;300),2,3))</f>
        <v>3</v>
      </c>
      <c r="M3">
        <v>57.079414195557547</v>
      </c>
      <c r="N3">
        <v>61.172375504863439</v>
      </c>
      <c r="O3">
        <f t="shared" si="0"/>
        <v>1</v>
      </c>
      <c r="P3">
        <f t="shared" si="1"/>
        <v>0</v>
      </c>
      <c r="Q3">
        <f t="shared" si="2"/>
        <v>-1.5229999999999999</v>
      </c>
      <c r="R3">
        <v>1</v>
      </c>
      <c r="S3">
        <f t="shared" ref="S3:S66" si="4">$W$2*G3+$W$3*N3-LN(N3+($W$4*EXP($W$5*G3)))+$W$6*(H3-15)*O3+$W$7*P3+Q3</f>
        <v>1.7179309107639498</v>
      </c>
      <c r="T3">
        <v>1.7672400129455912</v>
      </c>
      <c r="U3">
        <f t="shared" ref="U3:U66" si="5">T3-S3</f>
        <v>4.9309102181641418E-2</v>
      </c>
      <c r="V3" s="53" t="s">
        <v>27</v>
      </c>
      <c r="W3">
        <v>-2.2301046484643201E-4</v>
      </c>
    </row>
    <row r="4" spans="1:23">
      <c r="A4">
        <f t="shared" ref="A4:A67" si="6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36">
        <v>5.5</v>
      </c>
      <c r="H4" s="5">
        <v>22</v>
      </c>
      <c r="I4" s="41" t="s">
        <v>9</v>
      </c>
      <c r="J4" s="45" t="s">
        <v>15</v>
      </c>
      <c r="K4">
        <v>210</v>
      </c>
      <c r="L4">
        <f t="shared" si="3"/>
        <v>3</v>
      </c>
      <c r="M4">
        <v>199.93485105406191</v>
      </c>
      <c r="N4">
        <v>201.14160351854093</v>
      </c>
      <c r="O4">
        <f t="shared" si="0"/>
        <v>1</v>
      </c>
      <c r="P4">
        <f t="shared" si="1"/>
        <v>0</v>
      </c>
      <c r="Q4">
        <f t="shared" si="2"/>
        <v>-1.5229999999999999</v>
      </c>
      <c r="R4">
        <v>1</v>
      </c>
      <c r="S4">
        <f t="shared" si="4"/>
        <v>0.30460395135650442</v>
      </c>
      <c r="T4">
        <v>0.65961401304577139</v>
      </c>
      <c r="U4">
        <f t="shared" si="5"/>
        <v>0.35501006168926696</v>
      </c>
      <c r="V4" s="53" t="s">
        <v>28</v>
      </c>
      <c r="W4">
        <v>-0.115636456083074</v>
      </c>
    </row>
    <row r="5" spans="1:23">
      <c r="A5">
        <f t="shared" si="6"/>
        <v>4</v>
      </c>
      <c r="B5" s="2">
        <v>1</v>
      </c>
      <c r="C5" s="6">
        <v>42582</v>
      </c>
      <c r="D5" s="7">
        <v>0.98613425925925924</v>
      </c>
      <c r="E5" s="5">
        <v>-8.24</v>
      </c>
      <c r="F5" s="5">
        <v>117.87</v>
      </c>
      <c r="G5" s="36">
        <v>5.5</v>
      </c>
      <c r="H5" s="5">
        <v>22</v>
      </c>
      <c r="I5" s="2" t="s">
        <v>9</v>
      </c>
      <c r="J5" s="45" t="s">
        <v>16</v>
      </c>
      <c r="K5">
        <v>770</v>
      </c>
      <c r="L5">
        <f t="shared" si="3"/>
        <v>1</v>
      </c>
      <c r="M5">
        <v>186.18385881689272</v>
      </c>
      <c r="N5">
        <v>187.47914359722429</v>
      </c>
      <c r="O5">
        <f t="shared" si="0"/>
        <v>1</v>
      </c>
      <c r="P5">
        <f t="shared" si="1"/>
        <v>0</v>
      </c>
      <c r="Q5">
        <f t="shared" si="2"/>
        <v>-2.1520000000000001</v>
      </c>
      <c r="R5">
        <v>0</v>
      </c>
      <c r="S5">
        <f t="shared" si="4"/>
        <v>-0.24543356817302553</v>
      </c>
      <c r="T5">
        <v>6.4637657560609199E-2</v>
      </c>
      <c r="U5">
        <f t="shared" si="5"/>
        <v>0.31007122573363471</v>
      </c>
      <c r="V5" s="53" t="s">
        <v>30</v>
      </c>
      <c r="W5">
        <v>0.87534631608799796</v>
      </c>
    </row>
    <row r="6" spans="1:23">
      <c r="A6">
        <f t="shared" si="6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36">
        <v>5.5</v>
      </c>
      <c r="H6" s="5">
        <v>22</v>
      </c>
      <c r="I6" s="41" t="s">
        <v>9</v>
      </c>
      <c r="J6" s="45" t="s">
        <v>17</v>
      </c>
      <c r="K6">
        <v>1141</v>
      </c>
      <c r="L6">
        <f t="shared" si="3"/>
        <v>1</v>
      </c>
      <c r="M6">
        <v>122.92739866371562</v>
      </c>
      <c r="N6">
        <v>124.88052427111312</v>
      </c>
      <c r="O6">
        <f t="shared" si="0"/>
        <v>1</v>
      </c>
      <c r="P6">
        <f t="shared" si="1"/>
        <v>0</v>
      </c>
      <c r="Q6">
        <f t="shared" si="2"/>
        <v>-2.1520000000000001</v>
      </c>
      <c r="R6">
        <v>0</v>
      </c>
      <c r="S6">
        <f t="shared" si="4"/>
        <v>0.21696179455536413</v>
      </c>
      <c r="T6">
        <v>0.56857084564230076</v>
      </c>
      <c r="U6">
        <f t="shared" si="5"/>
        <v>0.35160905108693663</v>
      </c>
      <c r="V6" s="53" t="s">
        <v>29</v>
      </c>
      <c r="W6">
        <v>2.0101683335751502E-2</v>
      </c>
    </row>
    <row r="7" spans="1:23">
      <c r="A7">
        <f t="shared" si="6"/>
        <v>6</v>
      </c>
      <c r="B7" s="2">
        <f t="shared" ref="B7:B70" si="7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36">
        <v>4.4000000000000004</v>
      </c>
      <c r="H7" s="5">
        <v>11</v>
      </c>
      <c r="I7" s="41" t="s">
        <v>9</v>
      </c>
      <c r="J7" s="45" t="s">
        <v>18</v>
      </c>
      <c r="K7">
        <v>612</v>
      </c>
      <c r="L7">
        <f t="shared" si="3"/>
        <v>1</v>
      </c>
      <c r="M7">
        <v>51.849622503718564</v>
      </c>
      <c r="N7">
        <v>53.00361642169446</v>
      </c>
      <c r="O7">
        <f t="shared" si="0"/>
        <v>0</v>
      </c>
      <c r="P7">
        <f t="shared" si="1"/>
        <v>0</v>
      </c>
      <c r="Q7">
        <f t="shared" si="2"/>
        <v>-2.1520000000000001</v>
      </c>
      <c r="R7">
        <v>0</v>
      </c>
      <c r="S7">
        <f t="shared" si="4"/>
        <v>-0.45603691535189927</v>
      </c>
      <c r="T7">
        <v>-1.1345914696823429</v>
      </c>
      <c r="U7">
        <f t="shared" si="5"/>
        <v>-0.67855455433044365</v>
      </c>
      <c r="V7" s="53" t="s">
        <v>24</v>
      </c>
      <c r="W7">
        <v>-0.999999899051909</v>
      </c>
    </row>
    <row r="8" spans="1:23">
      <c r="A8">
        <f t="shared" si="6"/>
        <v>7</v>
      </c>
      <c r="B8" s="2">
        <f t="shared" si="7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36">
        <v>4.4000000000000004</v>
      </c>
      <c r="H8" s="5">
        <v>11</v>
      </c>
      <c r="I8" s="41" t="s">
        <v>9</v>
      </c>
      <c r="J8" s="45" t="s">
        <v>15</v>
      </c>
      <c r="K8">
        <v>210</v>
      </c>
      <c r="L8">
        <f t="shared" si="3"/>
        <v>3</v>
      </c>
      <c r="M8">
        <v>61.668145708230284</v>
      </c>
      <c r="N8">
        <v>62.641521334427388</v>
      </c>
      <c r="O8">
        <f t="shared" si="0"/>
        <v>0</v>
      </c>
      <c r="P8">
        <f t="shared" si="1"/>
        <v>0</v>
      </c>
      <c r="Q8">
        <f t="shared" si="2"/>
        <v>-1.5229999999999999</v>
      </c>
      <c r="R8">
        <v>0</v>
      </c>
      <c r="S8">
        <f t="shared" si="4"/>
        <v>-1.3707151025648345E-2</v>
      </c>
      <c r="T8">
        <v>-1.4087070535230592</v>
      </c>
      <c r="U8">
        <f t="shared" si="5"/>
        <v>-1.3949999024974109</v>
      </c>
      <c r="V8" s="53" t="s">
        <v>31</v>
      </c>
      <c r="W8" s="50">
        <v>-2.1520000000000001</v>
      </c>
    </row>
    <row r="9" spans="1:23">
      <c r="A9">
        <f t="shared" si="6"/>
        <v>8</v>
      </c>
      <c r="B9" s="2">
        <f t="shared" si="7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36">
        <v>4.4000000000000004</v>
      </c>
      <c r="H9" s="5">
        <v>11</v>
      </c>
      <c r="I9" s="41" t="s">
        <v>9</v>
      </c>
      <c r="J9" s="45" t="s">
        <v>17</v>
      </c>
      <c r="K9">
        <v>1141</v>
      </c>
      <c r="L9">
        <f t="shared" si="3"/>
        <v>1</v>
      </c>
      <c r="M9">
        <v>145.7603890243447</v>
      </c>
      <c r="N9">
        <v>146.17486448951581</v>
      </c>
      <c r="O9">
        <f t="shared" si="0"/>
        <v>0</v>
      </c>
      <c r="P9">
        <f t="shared" si="1"/>
        <v>0</v>
      </c>
      <c r="Q9">
        <f t="shared" si="2"/>
        <v>-2.1520000000000001</v>
      </c>
      <c r="R9">
        <v>1</v>
      </c>
      <c r="S9">
        <f t="shared" si="4"/>
        <v>-1.5616580765689081</v>
      </c>
      <c r="T9">
        <v>-3.2284988772345522</v>
      </c>
      <c r="U9">
        <f t="shared" si="5"/>
        <v>-1.6668408006656441</v>
      </c>
      <c r="V9" s="53" t="s">
        <v>32</v>
      </c>
      <c r="W9" s="50">
        <v>-1.776</v>
      </c>
    </row>
    <row r="10" spans="1:23">
      <c r="A10">
        <f t="shared" si="6"/>
        <v>9</v>
      </c>
      <c r="B10" s="2">
        <f t="shared" si="7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36">
        <v>3.9</v>
      </c>
      <c r="H10" s="5">
        <v>10</v>
      </c>
      <c r="I10" s="41" t="s">
        <v>9</v>
      </c>
      <c r="J10" s="45" t="s">
        <v>18</v>
      </c>
      <c r="K10">
        <v>612</v>
      </c>
      <c r="L10">
        <f t="shared" si="3"/>
        <v>1</v>
      </c>
      <c r="M10">
        <v>92.404790052454644</v>
      </c>
      <c r="N10">
        <v>92.944312492148882</v>
      </c>
      <c r="O10">
        <f t="shared" si="0"/>
        <v>0</v>
      </c>
      <c r="P10">
        <f t="shared" si="1"/>
        <v>0</v>
      </c>
      <c r="Q10">
        <f t="shared" si="2"/>
        <v>-2.1520000000000001</v>
      </c>
      <c r="R10">
        <v>0</v>
      </c>
      <c r="S10">
        <f t="shared" si="4"/>
        <v>-1.7293262437561703</v>
      </c>
      <c r="T10">
        <v>-4.0128068361914746</v>
      </c>
      <c r="U10">
        <f t="shared" si="5"/>
        <v>-2.2834805924353043</v>
      </c>
      <c r="V10" s="53" t="s">
        <v>33</v>
      </c>
      <c r="W10" s="50">
        <v>-1.5229999999999999</v>
      </c>
    </row>
    <row r="11" spans="1:23">
      <c r="A11">
        <f t="shared" si="6"/>
        <v>10</v>
      </c>
      <c r="B11" s="2">
        <f t="shared" si="7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36">
        <v>3.9</v>
      </c>
      <c r="H11" s="5">
        <v>10</v>
      </c>
      <c r="I11" s="41" t="s">
        <v>9</v>
      </c>
      <c r="J11" s="45" t="s">
        <v>15</v>
      </c>
      <c r="K11">
        <v>210</v>
      </c>
      <c r="L11">
        <f t="shared" si="3"/>
        <v>3</v>
      </c>
      <c r="M11">
        <v>99.718584231845142</v>
      </c>
      <c r="N11">
        <v>100.21874096796265</v>
      </c>
      <c r="O11">
        <f t="shared" si="0"/>
        <v>0</v>
      </c>
      <c r="P11">
        <f t="shared" si="1"/>
        <v>0</v>
      </c>
      <c r="Q11">
        <f t="shared" si="2"/>
        <v>-1.5229999999999999</v>
      </c>
      <c r="R11">
        <v>0</v>
      </c>
      <c r="S11">
        <f t="shared" si="4"/>
        <v>-1.1801506398545254</v>
      </c>
      <c r="T11">
        <v>-3.7723205058833198</v>
      </c>
      <c r="U11">
        <f t="shared" si="5"/>
        <v>-2.5921698660287946</v>
      </c>
      <c r="V11" t="s">
        <v>41</v>
      </c>
      <c r="W11" s="55">
        <v>0</v>
      </c>
    </row>
    <row r="12" spans="1:23">
      <c r="A12">
        <f t="shared" si="6"/>
        <v>11</v>
      </c>
      <c r="B12" s="2">
        <f t="shared" si="7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36">
        <v>3.9</v>
      </c>
      <c r="H12" s="5">
        <v>10</v>
      </c>
      <c r="I12" s="41" t="s">
        <v>9</v>
      </c>
      <c r="J12" s="45" t="s">
        <v>17</v>
      </c>
      <c r="K12">
        <v>1141</v>
      </c>
      <c r="L12">
        <f t="shared" si="3"/>
        <v>1</v>
      </c>
      <c r="M12">
        <v>186.63118908550243</v>
      </c>
      <c r="N12">
        <v>186.89890513180796</v>
      </c>
      <c r="O12">
        <f t="shared" si="0"/>
        <v>0</v>
      </c>
      <c r="P12">
        <f t="shared" si="1"/>
        <v>0</v>
      </c>
      <c r="Q12">
        <f t="shared" si="2"/>
        <v>-2.1520000000000001</v>
      </c>
      <c r="R12">
        <v>1</v>
      </c>
      <c r="S12">
        <f t="shared" si="4"/>
        <v>-2.4684024670366078</v>
      </c>
      <c r="T12">
        <v>-5.8286673563284692</v>
      </c>
      <c r="U12">
        <f t="shared" si="5"/>
        <v>-3.3602648892918614</v>
      </c>
      <c r="V12" t="s">
        <v>42</v>
      </c>
      <c r="W12" s="55">
        <v>0</v>
      </c>
    </row>
    <row r="13" spans="1:23">
      <c r="A13">
        <f t="shared" si="6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36">
        <v>4</v>
      </c>
      <c r="H13" s="5">
        <v>24</v>
      </c>
      <c r="I13" s="41" t="s">
        <v>9</v>
      </c>
      <c r="J13" s="45" t="s">
        <v>19</v>
      </c>
      <c r="K13">
        <v>283</v>
      </c>
      <c r="L13">
        <f t="shared" si="3"/>
        <v>3</v>
      </c>
      <c r="M13">
        <v>71.326978734067708</v>
      </c>
      <c r="N13">
        <v>75.256480753023169</v>
      </c>
      <c r="O13">
        <f t="shared" si="0"/>
        <v>1</v>
      </c>
      <c r="P13">
        <f t="shared" si="1"/>
        <v>0</v>
      </c>
      <c r="Q13">
        <f t="shared" si="2"/>
        <v>-1.5229999999999999</v>
      </c>
      <c r="R13">
        <v>0</v>
      </c>
      <c r="S13">
        <f t="shared" si="4"/>
        <v>-0.56401566521698887</v>
      </c>
      <c r="T13">
        <v>-1.612244890405423</v>
      </c>
      <c r="U13">
        <f t="shared" si="5"/>
        <v>-1.0482292251884342</v>
      </c>
      <c r="V13" t="s">
        <v>43</v>
      </c>
      <c r="W13" s="55">
        <v>0</v>
      </c>
    </row>
    <row r="14" spans="1:23">
      <c r="A14" s="8">
        <f t="shared" si="6"/>
        <v>13</v>
      </c>
      <c r="B14" s="9">
        <f t="shared" si="7"/>
        <v>5</v>
      </c>
      <c r="C14" s="10">
        <v>42912</v>
      </c>
      <c r="D14" s="11" t="s">
        <v>4</v>
      </c>
      <c r="E14" s="12">
        <v>-8.44</v>
      </c>
      <c r="F14" s="12">
        <v>117.26</v>
      </c>
      <c r="G14" s="37">
        <v>3.8</v>
      </c>
      <c r="H14" s="12">
        <v>10</v>
      </c>
      <c r="I14" s="42" t="s">
        <v>9</v>
      </c>
      <c r="J14" s="46" t="s">
        <v>19</v>
      </c>
      <c r="K14">
        <v>283</v>
      </c>
      <c r="L14">
        <f t="shared" si="3"/>
        <v>3</v>
      </c>
      <c r="M14">
        <v>17.815188989454146</v>
      </c>
      <c r="N14">
        <v>20.429903541866473</v>
      </c>
      <c r="O14">
        <f t="shared" si="0"/>
        <v>0</v>
      </c>
      <c r="P14">
        <f t="shared" si="1"/>
        <v>0</v>
      </c>
      <c r="Q14">
        <f t="shared" si="2"/>
        <v>-1.5229999999999999</v>
      </c>
      <c r="R14">
        <v>0</v>
      </c>
      <c r="S14">
        <f t="shared" si="4"/>
        <v>0.43717261653039974</v>
      </c>
      <c r="T14">
        <v>-1.5849568397871849</v>
      </c>
      <c r="U14">
        <f t="shared" si="5"/>
        <v>-2.0221294563175847</v>
      </c>
    </row>
    <row r="15" spans="1:23">
      <c r="A15">
        <f t="shared" si="6"/>
        <v>14</v>
      </c>
      <c r="B15" s="2">
        <f t="shared" si="7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36">
        <v>5.0999999999999996</v>
      </c>
      <c r="H15" s="5">
        <v>30</v>
      </c>
      <c r="I15" s="41" t="s">
        <v>10</v>
      </c>
      <c r="J15" s="45" t="s">
        <v>13</v>
      </c>
      <c r="K15">
        <v>386</v>
      </c>
      <c r="L15">
        <f t="shared" si="3"/>
        <v>2</v>
      </c>
      <c r="M15">
        <v>73.482911519556041</v>
      </c>
      <c r="N15">
        <v>79.370890667743566</v>
      </c>
      <c r="O15">
        <f t="shared" si="0"/>
        <v>1</v>
      </c>
      <c r="P15">
        <f t="shared" si="1"/>
        <v>1</v>
      </c>
      <c r="Q15">
        <f t="shared" si="2"/>
        <v>-1.776</v>
      </c>
      <c r="R15">
        <v>0</v>
      </c>
      <c r="S15">
        <f t="shared" si="4"/>
        <v>-0.27510410896837278</v>
      </c>
      <c r="T15">
        <v>-2.5022484825948134E-2</v>
      </c>
      <c r="U15">
        <f t="shared" si="5"/>
        <v>0.25008162414242463</v>
      </c>
    </row>
    <row r="16" spans="1:23">
      <c r="A16">
        <f t="shared" si="6"/>
        <v>15</v>
      </c>
      <c r="B16" s="2">
        <f t="shared" si="7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36">
        <v>5.0999999999999996</v>
      </c>
      <c r="H16" s="5">
        <v>30</v>
      </c>
      <c r="I16" s="41" t="s">
        <v>10</v>
      </c>
      <c r="J16" s="45" t="s">
        <v>14</v>
      </c>
      <c r="K16">
        <v>290</v>
      </c>
      <c r="L16">
        <f t="shared" si="3"/>
        <v>3</v>
      </c>
      <c r="M16">
        <v>86.954160124792679</v>
      </c>
      <c r="N16">
        <v>91.983835335389699</v>
      </c>
      <c r="O16">
        <f t="shared" si="0"/>
        <v>1</v>
      </c>
      <c r="P16">
        <f t="shared" si="1"/>
        <v>1</v>
      </c>
      <c r="Q16">
        <f t="shared" si="2"/>
        <v>-1.5229999999999999</v>
      </c>
      <c r="R16">
        <v>0</v>
      </c>
      <c r="S16">
        <f t="shared" si="4"/>
        <v>-0.19206903129674391</v>
      </c>
      <c r="T16">
        <v>0.30016314741758965</v>
      </c>
      <c r="U16">
        <f t="shared" si="5"/>
        <v>0.49223217871433356</v>
      </c>
    </row>
    <row r="17" spans="1:26">
      <c r="A17">
        <f t="shared" si="6"/>
        <v>16</v>
      </c>
      <c r="B17" s="2">
        <f t="shared" si="7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36">
        <v>5.0999999999999996</v>
      </c>
      <c r="H17" s="5">
        <v>30</v>
      </c>
      <c r="I17" s="41" t="s">
        <v>10</v>
      </c>
      <c r="J17" s="45" t="s">
        <v>19</v>
      </c>
      <c r="K17">
        <v>283</v>
      </c>
      <c r="L17">
        <f t="shared" si="3"/>
        <v>3</v>
      </c>
      <c r="M17">
        <v>167.80782469041785</v>
      </c>
      <c r="N17">
        <v>170.4683725132906</v>
      </c>
      <c r="O17">
        <f t="shared" si="0"/>
        <v>1</v>
      </c>
      <c r="P17">
        <f t="shared" si="1"/>
        <v>1</v>
      </c>
      <c r="Q17">
        <f t="shared" si="2"/>
        <v>-1.5229999999999999</v>
      </c>
      <c r="R17">
        <v>1</v>
      </c>
      <c r="S17">
        <f t="shared" si="4"/>
        <v>-0.88140848026063789</v>
      </c>
      <c r="T17">
        <v>-0.96712527887943023</v>
      </c>
      <c r="U17">
        <f t="shared" si="5"/>
        <v>-8.5716798618792334E-2</v>
      </c>
    </row>
    <row r="18" spans="1:26">
      <c r="A18">
        <f t="shared" si="6"/>
        <v>17</v>
      </c>
      <c r="B18" s="2">
        <f t="shared" si="7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36">
        <v>5.0999999999999996</v>
      </c>
      <c r="H18" s="5">
        <v>30</v>
      </c>
      <c r="I18" s="41" t="s">
        <v>10</v>
      </c>
      <c r="J18" s="45" t="s">
        <v>17</v>
      </c>
      <c r="K18">
        <v>1141</v>
      </c>
      <c r="L18">
        <f t="shared" si="3"/>
        <v>1</v>
      </c>
      <c r="M18">
        <v>232.99229188908313</v>
      </c>
      <c r="N18">
        <v>234.91574676834185</v>
      </c>
      <c r="O18">
        <f t="shared" si="0"/>
        <v>1</v>
      </c>
      <c r="P18">
        <f t="shared" si="1"/>
        <v>1</v>
      </c>
      <c r="Q18">
        <f t="shared" si="2"/>
        <v>-2.1520000000000001</v>
      </c>
      <c r="R18">
        <v>1</v>
      </c>
      <c r="S18">
        <f t="shared" si="4"/>
        <v>-1.8624882747182017</v>
      </c>
      <c r="T18">
        <v>-2.8819252869545795</v>
      </c>
      <c r="U18">
        <f t="shared" si="5"/>
        <v>-1.0194370122363778</v>
      </c>
    </row>
    <row r="19" spans="1:26">
      <c r="A19">
        <f t="shared" si="6"/>
        <v>18</v>
      </c>
      <c r="B19" s="2">
        <f t="shared" si="7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36">
        <v>4.9000000000000004</v>
      </c>
      <c r="H19" s="5">
        <v>17</v>
      </c>
      <c r="I19" s="41" t="s">
        <v>10</v>
      </c>
      <c r="J19" s="45" t="s">
        <v>14</v>
      </c>
      <c r="K19">
        <v>290</v>
      </c>
      <c r="L19">
        <f t="shared" si="3"/>
        <v>3</v>
      </c>
      <c r="M19">
        <v>87.504747432513781</v>
      </c>
      <c r="N19">
        <v>89.140792139334437</v>
      </c>
      <c r="O19">
        <f t="shared" si="0"/>
        <v>1</v>
      </c>
      <c r="P19">
        <f t="shared" si="1"/>
        <v>1</v>
      </c>
      <c r="Q19">
        <f t="shared" si="2"/>
        <v>-1.5229999999999999</v>
      </c>
      <c r="R19">
        <v>0</v>
      </c>
      <c r="S19">
        <f t="shared" si="4"/>
        <v>-0.69080503284889083</v>
      </c>
      <c r="T19">
        <v>1.5337899256805425</v>
      </c>
      <c r="U19">
        <f t="shared" si="5"/>
        <v>2.2245949585294333</v>
      </c>
    </row>
    <row r="20" spans="1:26">
      <c r="A20" s="8">
        <f t="shared" si="6"/>
        <v>19</v>
      </c>
      <c r="B20" s="9">
        <f t="shared" si="7"/>
        <v>7</v>
      </c>
      <c r="C20" s="10">
        <v>43130</v>
      </c>
      <c r="D20" s="11">
        <v>8.3715277777777777E-2</v>
      </c>
      <c r="E20" s="12">
        <v>-7.9</v>
      </c>
      <c r="F20" s="12">
        <v>118.82</v>
      </c>
      <c r="G20" s="37">
        <v>4.9000000000000004</v>
      </c>
      <c r="H20" s="12">
        <v>17</v>
      </c>
      <c r="I20" s="42" t="s">
        <v>10</v>
      </c>
      <c r="J20" s="46" t="s">
        <v>17</v>
      </c>
      <c r="K20">
        <v>1141</v>
      </c>
      <c r="L20">
        <f t="shared" si="3"/>
        <v>1</v>
      </c>
      <c r="M20">
        <v>234.58300285380335</v>
      </c>
      <c r="N20">
        <v>235.198182875437</v>
      </c>
      <c r="O20">
        <f t="shared" si="0"/>
        <v>1</v>
      </c>
      <c r="P20">
        <f t="shared" si="1"/>
        <v>1</v>
      </c>
      <c r="Q20">
        <f t="shared" si="2"/>
        <v>-2.1520000000000001</v>
      </c>
      <c r="R20">
        <v>1</v>
      </c>
      <c r="S20">
        <f t="shared" si="4"/>
        <v>-2.3854398062343054</v>
      </c>
      <c r="T20">
        <v>-2.1399268103971179</v>
      </c>
      <c r="U20">
        <f t="shared" si="5"/>
        <v>0.24551299583718755</v>
      </c>
    </row>
    <row r="21" spans="1:26">
      <c r="A21" s="8">
        <f t="shared" si="6"/>
        <v>20</v>
      </c>
      <c r="B21" s="9">
        <f t="shared" si="7"/>
        <v>8</v>
      </c>
      <c r="C21" s="10">
        <v>43133</v>
      </c>
      <c r="D21" s="11">
        <v>0.24946759259182727</v>
      </c>
      <c r="E21" s="12">
        <v>-7.98</v>
      </c>
      <c r="F21" s="12">
        <v>115.88</v>
      </c>
      <c r="G21" s="37">
        <v>4.7</v>
      </c>
      <c r="H21" s="12">
        <v>27</v>
      </c>
      <c r="I21" s="42" t="s">
        <v>9</v>
      </c>
      <c r="J21" s="46" t="s">
        <v>17</v>
      </c>
      <c r="K21">
        <v>1141</v>
      </c>
      <c r="L21">
        <f t="shared" si="3"/>
        <v>1</v>
      </c>
      <c r="M21">
        <v>139.59393854085613</v>
      </c>
      <c r="N21">
        <v>142.18110872175782</v>
      </c>
      <c r="O21">
        <f t="shared" si="0"/>
        <v>1</v>
      </c>
      <c r="P21">
        <f t="shared" si="1"/>
        <v>0</v>
      </c>
      <c r="Q21">
        <f t="shared" si="2"/>
        <v>-2.1520000000000001</v>
      </c>
      <c r="R21">
        <v>1</v>
      </c>
      <c r="S21">
        <f t="shared" si="4"/>
        <v>-0.89897441249507049</v>
      </c>
      <c r="T21">
        <v>-4.1911443081608413</v>
      </c>
      <c r="U21">
        <f t="shared" si="5"/>
        <v>-3.2921698956657708</v>
      </c>
      <c r="Z21" s="50"/>
    </row>
    <row r="22" spans="1:26">
      <c r="A22">
        <f t="shared" si="6"/>
        <v>21</v>
      </c>
      <c r="B22" s="2">
        <f t="shared" si="7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36">
        <v>3.6</v>
      </c>
      <c r="H22" s="5">
        <v>10</v>
      </c>
      <c r="I22" s="41" t="s">
        <v>10</v>
      </c>
      <c r="J22" s="45" t="s">
        <v>17</v>
      </c>
      <c r="K22">
        <v>1141</v>
      </c>
      <c r="L22">
        <f t="shared" si="3"/>
        <v>1</v>
      </c>
      <c r="M22">
        <v>94.330220972540559</v>
      </c>
      <c r="N22">
        <v>94.858792890950966</v>
      </c>
      <c r="O22">
        <f t="shared" si="0"/>
        <v>0</v>
      </c>
      <c r="P22">
        <f t="shared" si="1"/>
        <v>1</v>
      </c>
      <c r="Q22">
        <f t="shared" si="2"/>
        <v>-2.1520000000000001</v>
      </c>
      <c r="R22">
        <v>1</v>
      </c>
      <c r="S22">
        <f t="shared" si="4"/>
        <v>-3.1395372317428869</v>
      </c>
      <c r="T22">
        <v>-3.7570999931327025</v>
      </c>
      <c r="U22">
        <f t="shared" si="5"/>
        <v>-0.61756276138981558</v>
      </c>
      <c r="Z22" s="50"/>
    </row>
    <row r="23" spans="1:26">
      <c r="A23" s="13">
        <f t="shared" si="6"/>
        <v>22</v>
      </c>
      <c r="B23" s="14">
        <f t="shared" si="7"/>
        <v>10</v>
      </c>
      <c r="C23" s="15">
        <v>43309</v>
      </c>
      <c r="D23" s="16">
        <v>0.94975694445020054</v>
      </c>
      <c r="E23" s="17">
        <v>-8.2799999999999994</v>
      </c>
      <c r="F23" s="17">
        <v>116.51</v>
      </c>
      <c r="G23" s="38">
        <v>6.5</v>
      </c>
      <c r="H23" s="17">
        <v>13</v>
      </c>
      <c r="I23" s="43" t="s">
        <v>10</v>
      </c>
      <c r="J23" s="47" t="s">
        <v>19</v>
      </c>
      <c r="K23">
        <v>283</v>
      </c>
      <c r="L23">
        <f t="shared" si="3"/>
        <v>3</v>
      </c>
      <c r="M23">
        <v>102.95038203100468</v>
      </c>
      <c r="N23">
        <v>103.76791970705499</v>
      </c>
      <c r="O23">
        <f t="shared" si="0"/>
        <v>0</v>
      </c>
      <c r="P23">
        <f t="shared" si="1"/>
        <v>1</v>
      </c>
      <c r="Q23">
        <f t="shared" si="2"/>
        <v>-1.5229999999999999</v>
      </c>
      <c r="R23">
        <v>0</v>
      </c>
      <c r="S23">
        <f t="shared" si="4"/>
        <v>1.4397794048943957</v>
      </c>
      <c r="T23">
        <v>3.268217272890038</v>
      </c>
      <c r="U23">
        <f t="shared" si="5"/>
        <v>1.8284378679956423</v>
      </c>
      <c r="Z23" s="50"/>
    </row>
    <row r="24" spans="1:26">
      <c r="A24">
        <f t="shared" si="6"/>
        <v>23</v>
      </c>
      <c r="B24" s="2">
        <f t="shared" si="7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36">
        <v>4.9000000000000004</v>
      </c>
      <c r="H24" s="5">
        <v>10</v>
      </c>
      <c r="I24" s="41" t="s">
        <v>10</v>
      </c>
      <c r="J24" s="45" t="s">
        <v>19</v>
      </c>
      <c r="K24">
        <v>283</v>
      </c>
      <c r="L24">
        <f t="shared" si="3"/>
        <v>3</v>
      </c>
      <c r="M24">
        <v>103.61008734061461</v>
      </c>
      <c r="N24">
        <v>104.09154720115264</v>
      </c>
      <c r="O24">
        <f t="shared" si="0"/>
        <v>0</v>
      </c>
      <c r="P24">
        <f t="shared" si="1"/>
        <v>1</v>
      </c>
      <c r="Q24">
        <f t="shared" si="2"/>
        <v>-1.5229999999999999</v>
      </c>
      <c r="R24">
        <v>1</v>
      </c>
      <c r="S24">
        <f t="shared" si="4"/>
        <v>-0.9042882584396903</v>
      </c>
      <c r="T24">
        <v>0.37104550533386937</v>
      </c>
      <c r="U24">
        <f t="shared" si="5"/>
        <v>1.2753337637735598</v>
      </c>
      <c r="Z24" s="55"/>
    </row>
    <row r="25" spans="1:26">
      <c r="A25">
        <f t="shared" si="6"/>
        <v>24</v>
      </c>
      <c r="B25" s="2">
        <f t="shared" si="7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36">
        <v>5.4</v>
      </c>
      <c r="H25" s="5">
        <v>10</v>
      </c>
      <c r="I25" s="41" t="s">
        <v>10</v>
      </c>
      <c r="J25" s="45" t="s">
        <v>14</v>
      </c>
      <c r="K25">
        <v>290</v>
      </c>
      <c r="L25">
        <f t="shared" si="3"/>
        <v>3</v>
      </c>
      <c r="M25">
        <v>208.12715043998526</v>
      </c>
      <c r="N25">
        <v>208.36724970654157</v>
      </c>
      <c r="O25">
        <f t="shared" si="0"/>
        <v>0</v>
      </c>
      <c r="P25">
        <f t="shared" si="1"/>
        <v>1</v>
      </c>
      <c r="Q25">
        <f t="shared" si="2"/>
        <v>-1.5229999999999999</v>
      </c>
      <c r="R25">
        <v>1</v>
      </c>
      <c r="S25">
        <f t="shared" si="4"/>
        <v>-1.0083761045511874</v>
      </c>
      <c r="T25">
        <v>6.0467593521678728E-2</v>
      </c>
      <c r="U25">
        <f t="shared" si="5"/>
        <v>1.0688436980728662</v>
      </c>
      <c r="Z25" s="55"/>
    </row>
    <row r="26" spans="1:26">
      <c r="A26">
        <f t="shared" si="6"/>
        <v>25</v>
      </c>
      <c r="B26" s="2">
        <f t="shared" si="7"/>
        <v>12</v>
      </c>
      <c r="C26" s="18">
        <v>43310</v>
      </c>
      <c r="D26" s="19">
        <v>7.6759259259259263E-2</v>
      </c>
      <c r="E26" s="20">
        <v>-8.2200000000000006</v>
      </c>
      <c r="F26" s="20">
        <v>116.46</v>
      </c>
      <c r="G26" s="36">
        <v>5.4</v>
      </c>
      <c r="H26" s="20">
        <v>10</v>
      </c>
      <c r="I26" s="2" t="s">
        <v>10</v>
      </c>
      <c r="J26" s="45" t="s">
        <v>16</v>
      </c>
      <c r="K26">
        <v>770</v>
      </c>
      <c r="L26">
        <f t="shared" si="3"/>
        <v>1</v>
      </c>
      <c r="M26">
        <v>63.920882697035651</v>
      </c>
      <c r="N26">
        <v>64.698371268279942</v>
      </c>
      <c r="O26">
        <f t="shared" si="0"/>
        <v>0</v>
      </c>
      <c r="P26">
        <f t="shared" si="1"/>
        <v>1</v>
      </c>
      <c r="Q26">
        <f t="shared" si="2"/>
        <v>-2.1520000000000001</v>
      </c>
      <c r="R26">
        <v>1</v>
      </c>
      <c r="S26">
        <f t="shared" si="4"/>
        <v>-0.27502528066454235</v>
      </c>
      <c r="T26">
        <v>-0.19921223133400287</v>
      </c>
      <c r="U26">
        <f t="shared" si="5"/>
        <v>7.5813049330539478E-2</v>
      </c>
      <c r="Z26" s="55"/>
    </row>
    <row r="27" spans="1:26">
      <c r="A27">
        <f t="shared" si="6"/>
        <v>26</v>
      </c>
      <c r="B27" s="2">
        <f t="shared" si="7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36">
        <v>5.4</v>
      </c>
      <c r="H27" s="5">
        <v>10</v>
      </c>
      <c r="I27" s="41" t="s">
        <v>10</v>
      </c>
      <c r="J27" s="45" t="s">
        <v>19</v>
      </c>
      <c r="K27">
        <v>283</v>
      </c>
      <c r="L27">
        <f t="shared" si="3"/>
        <v>3</v>
      </c>
      <c r="M27">
        <v>109.98524049130438</v>
      </c>
      <c r="N27">
        <v>110.43891128551594</v>
      </c>
      <c r="O27">
        <f t="shared" si="0"/>
        <v>0</v>
      </c>
      <c r="P27">
        <f t="shared" si="1"/>
        <v>1</v>
      </c>
      <c r="Q27">
        <f t="shared" si="2"/>
        <v>-1.5229999999999999</v>
      </c>
      <c r="R27">
        <v>1</v>
      </c>
      <c r="S27">
        <f t="shared" si="4"/>
        <v>-0.29057196758737636</v>
      </c>
      <c r="T27">
        <v>1.1630521584068263</v>
      </c>
      <c r="U27">
        <f t="shared" si="5"/>
        <v>1.4536241259942027</v>
      </c>
      <c r="Z27" s="54"/>
    </row>
    <row r="28" spans="1:26">
      <c r="A28">
        <f t="shared" si="6"/>
        <v>27</v>
      </c>
      <c r="B28" s="2">
        <f t="shared" si="7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36">
        <v>5.4</v>
      </c>
      <c r="H28" s="5">
        <v>10</v>
      </c>
      <c r="I28" s="41" t="s">
        <v>10</v>
      </c>
      <c r="J28" s="45" t="s">
        <v>17</v>
      </c>
      <c r="K28">
        <v>1141</v>
      </c>
      <c r="L28">
        <f t="shared" si="3"/>
        <v>1</v>
      </c>
      <c r="M28">
        <v>74.238713416035168</v>
      </c>
      <c r="N28">
        <v>74.909188819985232</v>
      </c>
      <c r="O28">
        <f t="shared" si="0"/>
        <v>0</v>
      </c>
      <c r="P28">
        <f t="shared" si="1"/>
        <v>1</v>
      </c>
      <c r="Q28">
        <f t="shared" si="2"/>
        <v>-2.1520000000000001</v>
      </c>
      <c r="R28">
        <v>1</v>
      </c>
      <c r="S28">
        <f t="shared" si="4"/>
        <v>-0.45773685793506558</v>
      </c>
      <c r="T28">
        <v>-0.29201555622318393</v>
      </c>
      <c r="U28">
        <f t="shared" si="5"/>
        <v>0.16572130171188165</v>
      </c>
    </row>
    <row r="29" spans="1:26">
      <c r="A29">
        <f t="shared" si="6"/>
        <v>28</v>
      </c>
      <c r="B29" s="2">
        <f t="shared" si="7"/>
        <v>13</v>
      </c>
      <c r="C29" s="18">
        <v>43310</v>
      </c>
      <c r="D29" s="19">
        <v>0.48100694444444447</v>
      </c>
      <c r="E29" s="20">
        <v>-8.33</v>
      </c>
      <c r="F29" s="20">
        <v>116.43</v>
      </c>
      <c r="G29" s="36">
        <v>3.5</v>
      </c>
      <c r="H29" s="20">
        <v>10</v>
      </c>
      <c r="I29" s="2" t="s">
        <v>10</v>
      </c>
      <c r="J29" s="45" t="s">
        <v>16</v>
      </c>
      <c r="K29">
        <v>770</v>
      </c>
      <c r="L29">
        <f t="shared" si="3"/>
        <v>1</v>
      </c>
      <c r="M29">
        <v>51.276522104060916</v>
      </c>
      <c r="N29">
        <v>52.242527878044413</v>
      </c>
      <c r="O29">
        <f t="shared" si="0"/>
        <v>0</v>
      </c>
      <c r="P29">
        <f t="shared" si="1"/>
        <v>1</v>
      </c>
      <c r="Q29">
        <f t="shared" si="2"/>
        <v>-2.1520000000000001</v>
      </c>
      <c r="R29">
        <v>1</v>
      </c>
      <c r="S29">
        <f t="shared" si="4"/>
        <v>-2.6404812794984256</v>
      </c>
      <c r="T29">
        <v>-3.5787625211633363</v>
      </c>
      <c r="U29">
        <f t="shared" si="5"/>
        <v>-0.93828124166491067</v>
      </c>
    </row>
    <row r="30" spans="1:26">
      <c r="A30">
        <f t="shared" si="6"/>
        <v>29</v>
      </c>
      <c r="B30" s="2">
        <f t="shared" si="7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36">
        <v>4.2</v>
      </c>
      <c r="H30" s="5">
        <v>10</v>
      </c>
      <c r="I30" s="41" t="s">
        <v>10</v>
      </c>
      <c r="J30" s="45" t="s">
        <v>14</v>
      </c>
      <c r="K30">
        <v>290</v>
      </c>
      <c r="L30">
        <f t="shared" si="3"/>
        <v>3</v>
      </c>
      <c r="M30">
        <v>184.73212793909977</v>
      </c>
      <c r="N30">
        <v>185.00259212483465</v>
      </c>
      <c r="O30">
        <f t="shared" si="0"/>
        <v>0</v>
      </c>
      <c r="P30">
        <f t="shared" si="1"/>
        <v>1</v>
      </c>
      <c r="Q30">
        <f t="shared" si="2"/>
        <v>-1.5229999999999999</v>
      </c>
      <c r="R30">
        <v>0</v>
      </c>
      <c r="S30">
        <f t="shared" si="4"/>
        <v>-2.4429954987874876</v>
      </c>
      <c r="T30">
        <v>-2.8065598000817134</v>
      </c>
      <c r="U30">
        <f t="shared" si="5"/>
        <v>-0.36356430129422579</v>
      </c>
    </row>
    <row r="31" spans="1:26">
      <c r="A31" s="13">
        <f t="shared" si="6"/>
        <v>30</v>
      </c>
      <c r="B31" s="14">
        <f t="shared" si="7"/>
        <v>15</v>
      </c>
      <c r="C31" s="21">
        <v>43317</v>
      </c>
      <c r="D31" s="22">
        <v>0.49070601851851853</v>
      </c>
      <c r="E31" s="23">
        <v>-8.2899999999999991</v>
      </c>
      <c r="F31" s="23">
        <v>116.48</v>
      </c>
      <c r="G31" s="38">
        <v>6.9</v>
      </c>
      <c r="H31" s="23">
        <v>17.8</v>
      </c>
      <c r="I31" s="14" t="s">
        <v>10</v>
      </c>
      <c r="J31" s="47" t="s">
        <v>16</v>
      </c>
      <c r="K31">
        <v>770</v>
      </c>
      <c r="L31">
        <f t="shared" si="3"/>
        <v>1</v>
      </c>
      <c r="M31">
        <v>57.419723907976618</v>
      </c>
      <c r="N31">
        <v>60.115428083548252</v>
      </c>
      <c r="O31">
        <f t="shared" si="0"/>
        <v>1</v>
      </c>
      <c r="P31">
        <f t="shared" si="1"/>
        <v>1</v>
      </c>
      <c r="Q31">
        <f t="shared" si="2"/>
        <v>-2.1520000000000001</v>
      </c>
      <c r="R31">
        <v>1</v>
      </c>
      <c r="S31">
        <f t="shared" si="4"/>
        <v>3.1772828110071956</v>
      </c>
      <c r="T31">
        <v>2.8013643088649225</v>
      </c>
      <c r="U31">
        <f t="shared" si="5"/>
        <v>-0.37591850214227307</v>
      </c>
    </row>
    <row r="32" spans="1:26">
      <c r="A32" s="13">
        <f t="shared" si="6"/>
        <v>31</v>
      </c>
      <c r="B32" s="14">
        <f t="shared" si="7"/>
        <v>15</v>
      </c>
      <c r="C32" s="15">
        <v>43317</v>
      </c>
      <c r="D32" s="16">
        <v>0.49070601851851853</v>
      </c>
      <c r="E32" s="23">
        <v>-8.2899999999999991</v>
      </c>
      <c r="F32" s="17">
        <v>116.48</v>
      </c>
      <c r="G32" s="38">
        <v>6.9</v>
      </c>
      <c r="H32" s="23">
        <v>17.8</v>
      </c>
      <c r="I32" s="43" t="s">
        <v>10</v>
      </c>
      <c r="J32" s="47" t="s">
        <v>19</v>
      </c>
      <c r="K32">
        <v>283</v>
      </c>
      <c r="L32">
        <f t="shared" si="3"/>
        <v>3</v>
      </c>
      <c r="M32">
        <v>105.96476647702214</v>
      </c>
      <c r="N32">
        <v>107.44939150376719</v>
      </c>
      <c r="O32">
        <f t="shared" si="0"/>
        <v>1</v>
      </c>
      <c r="P32">
        <f t="shared" si="1"/>
        <v>1</v>
      </c>
      <c r="Q32">
        <f t="shared" si="2"/>
        <v>-1.5229999999999999</v>
      </c>
      <c r="R32">
        <v>0</v>
      </c>
      <c r="S32">
        <f t="shared" si="4"/>
        <v>2.1679454793235058</v>
      </c>
      <c r="T32">
        <v>3.8513465934921678</v>
      </c>
      <c r="U32">
        <f t="shared" si="5"/>
        <v>1.683401114168662</v>
      </c>
    </row>
    <row r="33" spans="1:21">
      <c r="A33" s="13">
        <f t="shared" si="6"/>
        <v>32</v>
      </c>
      <c r="B33" s="14">
        <f t="shared" si="7"/>
        <v>15</v>
      </c>
      <c r="C33" s="15">
        <v>43317</v>
      </c>
      <c r="D33" s="16">
        <v>0.49070601851851853</v>
      </c>
      <c r="E33" s="23">
        <v>-8.2899999999999991</v>
      </c>
      <c r="F33" s="17">
        <v>116.48</v>
      </c>
      <c r="G33" s="38">
        <v>6.9</v>
      </c>
      <c r="H33" s="23">
        <v>17.8</v>
      </c>
      <c r="I33" s="43" t="s">
        <v>10</v>
      </c>
      <c r="J33" s="47" t="s">
        <v>17</v>
      </c>
      <c r="K33">
        <v>1141</v>
      </c>
      <c r="L33">
        <f t="shared" si="3"/>
        <v>1</v>
      </c>
      <c r="M33">
        <v>66.881610355374306</v>
      </c>
      <c r="N33">
        <v>69.20975222992864</v>
      </c>
      <c r="O33">
        <f t="shared" si="0"/>
        <v>1</v>
      </c>
      <c r="P33">
        <f t="shared" si="1"/>
        <v>1</v>
      </c>
      <c r="Q33">
        <f t="shared" si="2"/>
        <v>-2.1520000000000001</v>
      </c>
      <c r="R33">
        <v>1</v>
      </c>
      <c r="S33">
        <f t="shared" si="4"/>
        <v>2.5951034532592878</v>
      </c>
      <c r="T33">
        <v>2.1186891653188513</v>
      </c>
      <c r="U33">
        <f t="shared" si="5"/>
        <v>-0.4764142879404365</v>
      </c>
    </row>
    <row r="34" spans="1:21">
      <c r="A34">
        <f t="shared" si="6"/>
        <v>33</v>
      </c>
      <c r="B34" s="2">
        <f t="shared" si="7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36">
        <v>4.4000000000000004</v>
      </c>
      <c r="H34" s="5">
        <v>10</v>
      </c>
      <c r="I34" s="41" t="s">
        <v>10</v>
      </c>
      <c r="J34" s="45" t="s">
        <v>19</v>
      </c>
      <c r="K34">
        <v>283</v>
      </c>
      <c r="L34">
        <f t="shared" si="3"/>
        <v>3</v>
      </c>
      <c r="M34">
        <v>154.91870209025714</v>
      </c>
      <c r="N34">
        <v>155.24111651662983</v>
      </c>
      <c r="O34">
        <f t="shared" ref="O34:O65" si="8">IF(H34&lt;15,0,1)</f>
        <v>0</v>
      </c>
      <c r="P34">
        <f t="shared" ref="P34:P65" si="9">IF(I34="reverse",1,0)</f>
        <v>1</v>
      </c>
      <c r="Q34">
        <f t="shared" ref="Q34:Q65" si="10">IF(L34=1,$W$8,IF(L34=2,$W$9,$W$10))</f>
        <v>-1.5229999999999999</v>
      </c>
      <c r="R34">
        <v>1</v>
      </c>
      <c r="S34">
        <f t="shared" si="4"/>
        <v>-1.9971116738911148</v>
      </c>
      <c r="T34">
        <v>-2.1279160757217803</v>
      </c>
      <c r="U34">
        <f t="shared" si="5"/>
        <v>-0.13080440183066555</v>
      </c>
    </row>
    <row r="35" spans="1:21">
      <c r="A35">
        <f t="shared" si="6"/>
        <v>34</v>
      </c>
      <c r="B35" s="2">
        <f t="shared" si="7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36">
        <v>5.0999999999999996</v>
      </c>
      <c r="H35" s="5">
        <v>23</v>
      </c>
      <c r="I35" s="41" t="s">
        <v>10</v>
      </c>
      <c r="J35" s="45" t="s">
        <v>19</v>
      </c>
      <c r="K35">
        <v>283</v>
      </c>
      <c r="L35">
        <f t="shared" si="3"/>
        <v>3</v>
      </c>
      <c r="M35">
        <v>153.83691687865382</v>
      </c>
      <c r="N35">
        <v>155.5467678697627</v>
      </c>
      <c r="O35">
        <f t="shared" si="8"/>
        <v>1</v>
      </c>
      <c r="P35">
        <f t="shared" si="9"/>
        <v>1</v>
      </c>
      <c r="Q35">
        <f t="shared" si="10"/>
        <v>-1.5229999999999999</v>
      </c>
      <c r="R35">
        <v>1</v>
      </c>
      <c r="S35">
        <f t="shared" si="4"/>
        <v>-0.92116515198103133</v>
      </c>
      <c r="T35">
        <v>0.2285049979177961</v>
      </c>
      <c r="U35">
        <f t="shared" si="5"/>
        <v>1.1496701498988275</v>
      </c>
    </row>
    <row r="36" spans="1:21">
      <c r="A36">
        <f t="shared" si="6"/>
        <v>35</v>
      </c>
      <c r="B36" s="2">
        <f t="shared" si="7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36">
        <v>5.0999999999999996</v>
      </c>
      <c r="H36" s="5">
        <v>23</v>
      </c>
      <c r="I36" s="41" t="s">
        <v>10</v>
      </c>
      <c r="J36" s="45" t="s">
        <v>17</v>
      </c>
      <c r="K36">
        <v>1141</v>
      </c>
      <c r="L36">
        <f t="shared" si="3"/>
        <v>1</v>
      </c>
      <c r="M36">
        <v>101.03942513429189</v>
      </c>
      <c r="N36">
        <v>103.6241546719112</v>
      </c>
      <c r="O36">
        <f t="shared" si="8"/>
        <v>1</v>
      </c>
      <c r="P36">
        <f t="shared" si="9"/>
        <v>1</v>
      </c>
      <c r="Q36">
        <f t="shared" si="10"/>
        <v>-2.1520000000000001</v>
      </c>
      <c r="R36">
        <v>1</v>
      </c>
      <c r="S36">
        <f t="shared" si="4"/>
        <v>-1.0972096015625354</v>
      </c>
      <c r="T36">
        <v>-0.32661843439501331</v>
      </c>
      <c r="U36">
        <f t="shared" si="5"/>
        <v>0.77059116716752207</v>
      </c>
    </row>
    <row r="37" spans="1:21">
      <c r="A37">
        <f t="shared" si="6"/>
        <v>36</v>
      </c>
      <c r="B37" s="2">
        <f t="shared" si="7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36">
        <v>3.9</v>
      </c>
      <c r="H37" s="5">
        <v>10</v>
      </c>
      <c r="I37" s="41" t="s">
        <v>10</v>
      </c>
      <c r="J37" s="45" t="s">
        <v>17</v>
      </c>
      <c r="K37">
        <v>1141</v>
      </c>
      <c r="L37">
        <f t="shared" si="3"/>
        <v>1</v>
      </c>
      <c r="M37">
        <v>96.076875672391154</v>
      </c>
      <c r="N37">
        <v>96.595890383432504</v>
      </c>
      <c r="O37">
        <f t="shared" si="8"/>
        <v>0</v>
      </c>
      <c r="P37">
        <f t="shared" si="9"/>
        <v>1</v>
      </c>
      <c r="Q37">
        <f t="shared" si="10"/>
        <v>-2.1520000000000001</v>
      </c>
      <c r="R37">
        <v>1</v>
      </c>
      <c r="S37">
        <f t="shared" si="4"/>
        <v>-2.7701601185837985</v>
      </c>
      <c r="T37">
        <v>-4.5680302093490317</v>
      </c>
      <c r="U37">
        <f t="shared" si="5"/>
        <v>-1.7978700907652332</v>
      </c>
    </row>
    <row r="38" spans="1:21">
      <c r="A38">
        <f t="shared" si="6"/>
        <v>37</v>
      </c>
      <c r="B38" s="2">
        <f t="shared" si="7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36">
        <v>4.4000000000000004</v>
      </c>
      <c r="H38" s="5">
        <v>11</v>
      </c>
      <c r="I38" s="41" t="s">
        <v>10</v>
      </c>
      <c r="J38" s="45" t="s">
        <v>14</v>
      </c>
      <c r="K38">
        <v>290</v>
      </c>
      <c r="L38">
        <f t="shared" si="3"/>
        <v>3</v>
      </c>
      <c r="M38">
        <v>254.16745999184849</v>
      </c>
      <c r="N38">
        <v>254.40538067955225</v>
      </c>
      <c r="O38">
        <f t="shared" si="8"/>
        <v>0</v>
      </c>
      <c r="P38">
        <f t="shared" si="9"/>
        <v>1</v>
      </c>
      <c r="Q38">
        <f t="shared" si="10"/>
        <v>-1.5229999999999999</v>
      </c>
      <c r="R38">
        <v>1</v>
      </c>
      <c r="S38">
        <f t="shared" si="4"/>
        <v>-2.5272380477378062</v>
      </c>
      <c r="T38">
        <v>-2.4092861525808762</v>
      </c>
      <c r="U38">
        <f t="shared" si="5"/>
        <v>0.11795189515693005</v>
      </c>
    </row>
    <row r="39" spans="1:21">
      <c r="A39">
        <f t="shared" si="6"/>
        <v>38</v>
      </c>
      <c r="B39" s="2">
        <f t="shared" si="7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36">
        <v>4.4000000000000004</v>
      </c>
      <c r="H39" s="5">
        <v>11</v>
      </c>
      <c r="I39" s="41" t="s">
        <v>10</v>
      </c>
      <c r="J39" s="45" t="s">
        <v>17</v>
      </c>
      <c r="K39">
        <v>1141</v>
      </c>
      <c r="L39">
        <f t="shared" si="3"/>
        <v>1</v>
      </c>
      <c r="M39">
        <v>104.48053403207783</v>
      </c>
      <c r="N39">
        <v>105.05799346850374</v>
      </c>
      <c r="O39">
        <f t="shared" si="8"/>
        <v>0</v>
      </c>
      <c r="P39">
        <f t="shared" si="9"/>
        <v>1</v>
      </c>
      <c r="Q39">
        <f t="shared" si="10"/>
        <v>-2.1520000000000001</v>
      </c>
      <c r="R39">
        <v>1</v>
      </c>
      <c r="S39">
        <f t="shared" si="4"/>
        <v>-2.2069465290374923</v>
      </c>
      <c r="T39">
        <v>-2.6318719793531531</v>
      </c>
      <c r="U39">
        <f t="shared" si="5"/>
        <v>-0.42492545031566076</v>
      </c>
    </row>
    <row r="40" spans="1:21">
      <c r="A40">
        <f t="shared" si="6"/>
        <v>39</v>
      </c>
      <c r="B40" s="2">
        <f t="shared" si="7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36">
        <v>3.8</v>
      </c>
      <c r="H40" s="5">
        <v>14</v>
      </c>
      <c r="I40" s="41" t="s">
        <v>10</v>
      </c>
      <c r="J40" s="45" t="s">
        <v>17</v>
      </c>
      <c r="K40">
        <v>1141</v>
      </c>
      <c r="L40">
        <f t="shared" si="3"/>
        <v>1</v>
      </c>
      <c r="M40">
        <v>91.835397766047166</v>
      </c>
      <c r="N40">
        <v>92.896395424408695</v>
      </c>
      <c r="O40">
        <f t="shared" si="8"/>
        <v>0</v>
      </c>
      <c r="P40">
        <f t="shared" si="9"/>
        <v>1</v>
      </c>
      <c r="Q40">
        <f t="shared" si="10"/>
        <v>-2.1520000000000001</v>
      </c>
      <c r="R40">
        <v>1</v>
      </c>
      <c r="S40">
        <f t="shared" si="4"/>
        <v>-2.8586548136395367</v>
      </c>
      <c r="T40">
        <v>-3.6239545518974707</v>
      </c>
      <c r="U40">
        <f t="shared" si="5"/>
        <v>-0.76529973825793407</v>
      </c>
    </row>
    <row r="41" spans="1:21">
      <c r="A41">
        <f t="shared" si="6"/>
        <v>40</v>
      </c>
      <c r="B41" s="2">
        <f t="shared" si="7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36">
        <v>4.5999999999999996</v>
      </c>
      <c r="H41" s="5">
        <v>12</v>
      </c>
      <c r="I41" s="41" t="s">
        <v>10</v>
      </c>
      <c r="J41" s="45" t="s">
        <v>14</v>
      </c>
      <c r="K41">
        <v>290</v>
      </c>
      <c r="L41">
        <f t="shared" si="3"/>
        <v>3</v>
      </c>
      <c r="M41">
        <v>240.35487107688945</v>
      </c>
      <c r="N41">
        <v>240.65424170454207</v>
      </c>
      <c r="O41">
        <f t="shared" si="8"/>
        <v>0</v>
      </c>
      <c r="P41">
        <f t="shared" si="9"/>
        <v>1</v>
      </c>
      <c r="Q41">
        <f t="shared" si="10"/>
        <v>-1.5229999999999999</v>
      </c>
      <c r="R41">
        <v>1</v>
      </c>
      <c r="S41">
        <f t="shared" si="4"/>
        <v>-2.2097441237261934</v>
      </c>
      <c r="T41">
        <v>-2.0870451482915438</v>
      </c>
      <c r="U41">
        <f t="shared" si="5"/>
        <v>0.12269897543464969</v>
      </c>
    </row>
    <row r="42" spans="1:21">
      <c r="A42">
        <f t="shared" si="6"/>
        <v>41</v>
      </c>
      <c r="B42" s="2">
        <f t="shared" si="7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36">
        <v>4.5999999999999996</v>
      </c>
      <c r="H42" s="5">
        <v>12</v>
      </c>
      <c r="I42" s="41" t="s">
        <v>10</v>
      </c>
      <c r="J42" s="45" t="s">
        <v>19</v>
      </c>
      <c r="K42">
        <v>283</v>
      </c>
      <c r="L42">
        <f t="shared" si="3"/>
        <v>3</v>
      </c>
      <c r="M42">
        <v>141.11331413559105</v>
      </c>
      <c r="N42">
        <v>141.62262328572368</v>
      </c>
      <c r="O42">
        <f t="shared" si="8"/>
        <v>0</v>
      </c>
      <c r="P42">
        <f t="shared" si="9"/>
        <v>1</v>
      </c>
      <c r="Q42">
        <f t="shared" si="10"/>
        <v>-1.5229999999999999</v>
      </c>
      <c r="R42">
        <v>1</v>
      </c>
      <c r="S42">
        <f t="shared" si="4"/>
        <v>-1.6379127330080268</v>
      </c>
      <c r="T42">
        <v>-0.84427685783811224</v>
      </c>
      <c r="U42">
        <f t="shared" si="5"/>
        <v>0.79363587516991452</v>
      </c>
    </row>
    <row r="43" spans="1:21">
      <c r="A43">
        <f t="shared" si="6"/>
        <v>42</v>
      </c>
      <c r="B43" s="2">
        <f t="shared" si="7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36">
        <v>6.1</v>
      </c>
      <c r="H43" s="5">
        <v>12</v>
      </c>
      <c r="I43" s="41" t="s">
        <v>10</v>
      </c>
      <c r="J43" s="45" t="s">
        <v>19</v>
      </c>
      <c r="K43">
        <v>283</v>
      </c>
      <c r="L43">
        <f t="shared" si="3"/>
        <v>3</v>
      </c>
      <c r="M43">
        <v>133.30300987573361</v>
      </c>
      <c r="N43">
        <v>133.8420428786483</v>
      </c>
      <c r="O43">
        <f t="shared" si="8"/>
        <v>0</v>
      </c>
      <c r="P43">
        <f t="shared" si="9"/>
        <v>1</v>
      </c>
      <c r="Q43">
        <f t="shared" si="10"/>
        <v>-1.5229999999999999</v>
      </c>
      <c r="R43">
        <v>1</v>
      </c>
      <c r="S43">
        <f t="shared" si="4"/>
        <v>0.47081036528245157</v>
      </c>
      <c r="T43">
        <v>2.1029646659975194</v>
      </c>
      <c r="U43">
        <f t="shared" si="5"/>
        <v>1.6321543007150678</v>
      </c>
    </row>
    <row r="44" spans="1:21">
      <c r="A44">
        <f t="shared" si="6"/>
        <v>43</v>
      </c>
      <c r="B44" s="2">
        <f t="shared" si="7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36">
        <v>6.1</v>
      </c>
      <c r="H44" s="5">
        <v>12</v>
      </c>
      <c r="I44" s="41" t="s">
        <v>10</v>
      </c>
      <c r="J44" s="45" t="s">
        <v>17</v>
      </c>
      <c r="K44">
        <v>1141</v>
      </c>
      <c r="L44">
        <f t="shared" si="3"/>
        <v>1</v>
      </c>
      <c r="M44">
        <v>84.698985891143934</v>
      </c>
      <c r="N44">
        <v>85.544831585480367</v>
      </c>
      <c r="O44">
        <f t="shared" si="8"/>
        <v>0</v>
      </c>
      <c r="P44">
        <f t="shared" si="9"/>
        <v>1</v>
      </c>
      <c r="Q44">
        <f t="shared" si="10"/>
        <v>-2.1520000000000001</v>
      </c>
      <c r="R44">
        <v>1</v>
      </c>
      <c r="S44">
        <f t="shared" si="4"/>
        <v>0.43259066073897579</v>
      </c>
      <c r="T44">
        <v>1.1214453492073004</v>
      </c>
      <c r="U44">
        <f t="shared" si="5"/>
        <v>0.68885468846832465</v>
      </c>
    </row>
    <row r="45" spans="1:21">
      <c r="A45">
        <f t="shared" si="6"/>
        <v>44</v>
      </c>
      <c r="B45" s="2">
        <f t="shared" si="7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36">
        <v>4.8</v>
      </c>
      <c r="H45" s="5">
        <v>10</v>
      </c>
      <c r="I45" s="41" t="s">
        <v>10</v>
      </c>
      <c r="J45" s="45" t="s">
        <v>14</v>
      </c>
      <c r="K45">
        <v>290</v>
      </c>
      <c r="L45">
        <f t="shared" si="3"/>
        <v>3</v>
      </c>
      <c r="M45">
        <v>209.11492183048009</v>
      </c>
      <c r="N45">
        <v>209.3538882661791</v>
      </c>
      <c r="O45">
        <f t="shared" si="8"/>
        <v>0</v>
      </c>
      <c r="P45">
        <f t="shared" si="9"/>
        <v>1</v>
      </c>
      <c r="Q45">
        <f t="shared" si="10"/>
        <v>-1.5229999999999999</v>
      </c>
      <c r="R45">
        <v>1</v>
      </c>
      <c r="S45">
        <f t="shared" si="4"/>
        <v>-1.7999741011208554</v>
      </c>
      <c r="T45">
        <v>-1.1910925114392885</v>
      </c>
      <c r="U45">
        <f t="shared" si="5"/>
        <v>0.60888158968156691</v>
      </c>
    </row>
    <row r="46" spans="1:21">
      <c r="A46">
        <f t="shared" si="6"/>
        <v>45</v>
      </c>
      <c r="B46" s="2">
        <f t="shared" si="7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36">
        <v>4</v>
      </c>
      <c r="H46" s="5">
        <v>10</v>
      </c>
      <c r="I46" s="41" t="s">
        <v>10</v>
      </c>
      <c r="J46" s="45" t="s">
        <v>13</v>
      </c>
      <c r="K46">
        <v>386</v>
      </c>
      <c r="L46">
        <f t="shared" si="3"/>
        <v>2</v>
      </c>
      <c r="M46">
        <v>266.53643214013192</v>
      </c>
      <c r="N46">
        <v>266.72395778780572</v>
      </c>
      <c r="O46">
        <f t="shared" si="8"/>
        <v>0</v>
      </c>
      <c r="P46">
        <f t="shared" si="9"/>
        <v>1</v>
      </c>
      <c r="Q46">
        <f t="shared" si="10"/>
        <v>-1.776</v>
      </c>
      <c r="R46">
        <v>1</v>
      </c>
      <c r="S46">
        <f t="shared" si="4"/>
        <v>-3.3437595713648189</v>
      </c>
      <c r="T46">
        <v>-3.3437607065404684</v>
      </c>
      <c r="U46">
        <f t="shared" si="5"/>
        <v>-1.1351756494804022E-6</v>
      </c>
    </row>
    <row r="47" spans="1:21">
      <c r="A47">
        <f t="shared" si="6"/>
        <v>46</v>
      </c>
      <c r="B47" s="2">
        <f t="shared" si="7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36">
        <v>4</v>
      </c>
      <c r="H47" s="5">
        <v>10</v>
      </c>
      <c r="I47" s="41" t="s">
        <v>10</v>
      </c>
      <c r="J47" s="45" t="s">
        <v>19</v>
      </c>
      <c r="K47">
        <v>283</v>
      </c>
      <c r="L47">
        <f t="shared" si="3"/>
        <v>3</v>
      </c>
      <c r="M47">
        <v>125.86472859435281</v>
      </c>
      <c r="N47">
        <v>126.261355545274</v>
      </c>
      <c r="O47">
        <f t="shared" si="8"/>
        <v>0</v>
      </c>
      <c r="P47">
        <f t="shared" si="9"/>
        <v>1</v>
      </c>
      <c r="Q47">
        <f t="shared" si="10"/>
        <v>-1.5229999999999999</v>
      </c>
      <c r="R47">
        <v>1</v>
      </c>
      <c r="S47">
        <f t="shared" si="4"/>
        <v>-2.2952143576271924</v>
      </c>
      <c r="T47">
        <v>-1.9756608843561192</v>
      </c>
      <c r="U47">
        <f t="shared" si="5"/>
        <v>0.3195534732710732</v>
      </c>
    </row>
    <row r="48" spans="1:21">
      <c r="A48">
        <f t="shared" si="6"/>
        <v>47</v>
      </c>
      <c r="B48" s="2">
        <f t="shared" si="7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36">
        <v>4</v>
      </c>
      <c r="H48" s="5">
        <v>10</v>
      </c>
      <c r="I48" s="41" t="s">
        <v>10</v>
      </c>
      <c r="J48" s="45" t="s">
        <v>17</v>
      </c>
      <c r="K48">
        <v>1141</v>
      </c>
      <c r="L48">
        <f t="shared" si="3"/>
        <v>1</v>
      </c>
      <c r="M48">
        <v>87.215807594313191</v>
      </c>
      <c r="N48">
        <v>87.787226259452225</v>
      </c>
      <c r="O48">
        <f t="shared" si="8"/>
        <v>0</v>
      </c>
      <c r="P48">
        <f t="shared" si="9"/>
        <v>1</v>
      </c>
      <c r="Q48">
        <f t="shared" si="10"/>
        <v>-2.1520000000000001</v>
      </c>
      <c r="R48">
        <v>1</v>
      </c>
      <c r="S48">
        <f t="shared" si="4"/>
        <v>-2.5383737220517366</v>
      </c>
      <c r="T48">
        <v>-3.2928195808997178</v>
      </c>
      <c r="U48">
        <f t="shared" si="5"/>
        <v>-0.75444585884798121</v>
      </c>
    </row>
    <row r="49" spans="1:21">
      <c r="A49">
        <f t="shared" si="6"/>
        <v>48</v>
      </c>
      <c r="B49" s="2">
        <f t="shared" si="7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36">
        <v>4.5</v>
      </c>
      <c r="H49" s="5">
        <v>10</v>
      </c>
      <c r="I49" s="41" t="s">
        <v>10</v>
      </c>
      <c r="J49" s="45" t="s">
        <v>17</v>
      </c>
      <c r="K49">
        <v>1141</v>
      </c>
      <c r="L49">
        <f t="shared" si="3"/>
        <v>1</v>
      </c>
      <c r="M49">
        <v>91.933864428229342</v>
      </c>
      <c r="N49">
        <v>92.47613437372938</v>
      </c>
      <c r="O49">
        <f t="shared" si="8"/>
        <v>0</v>
      </c>
      <c r="P49">
        <f t="shared" si="9"/>
        <v>1</v>
      </c>
      <c r="Q49">
        <f t="shared" si="10"/>
        <v>-2.1520000000000001</v>
      </c>
      <c r="R49">
        <v>1</v>
      </c>
      <c r="S49">
        <f t="shared" si="4"/>
        <v>-1.9367944774735999</v>
      </c>
      <c r="T49">
        <v>-2.5146466682387021</v>
      </c>
      <c r="U49">
        <f t="shared" si="5"/>
        <v>-0.57785219076510219</v>
      </c>
    </row>
    <row r="50" spans="1:21">
      <c r="A50">
        <f t="shared" si="6"/>
        <v>49</v>
      </c>
      <c r="B50" s="2">
        <f t="shared" si="7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36">
        <v>4.5999999999999996</v>
      </c>
      <c r="H50" s="5">
        <v>10</v>
      </c>
      <c r="I50" s="41" t="s">
        <v>10</v>
      </c>
      <c r="J50" s="45" t="s">
        <v>14</v>
      </c>
      <c r="K50">
        <v>290</v>
      </c>
      <c r="L50">
        <f t="shared" si="3"/>
        <v>3</v>
      </c>
      <c r="M50">
        <v>192.58708677294078</v>
      </c>
      <c r="N50">
        <v>192.84653481898042</v>
      </c>
      <c r="O50">
        <f t="shared" si="8"/>
        <v>0</v>
      </c>
      <c r="P50">
        <f t="shared" si="9"/>
        <v>1</v>
      </c>
      <c r="Q50">
        <f t="shared" si="10"/>
        <v>-1.5229999999999999</v>
      </c>
      <c r="R50">
        <v>0</v>
      </c>
      <c r="S50">
        <f t="shared" si="4"/>
        <v>-1.9707283587982953</v>
      </c>
      <c r="T50">
        <v>-1.3434371956679987</v>
      </c>
      <c r="U50">
        <f t="shared" si="5"/>
        <v>0.62729116313029665</v>
      </c>
    </row>
    <row r="51" spans="1:21">
      <c r="A51">
        <f t="shared" si="6"/>
        <v>50</v>
      </c>
      <c r="B51" s="2">
        <f t="shared" si="7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36">
        <v>4.5999999999999996</v>
      </c>
      <c r="H51" s="5">
        <v>10</v>
      </c>
      <c r="I51" s="41" t="s">
        <v>10</v>
      </c>
      <c r="J51" s="45" t="s">
        <v>19</v>
      </c>
      <c r="K51">
        <v>283</v>
      </c>
      <c r="L51">
        <f t="shared" si="3"/>
        <v>3</v>
      </c>
      <c r="M51">
        <v>94.763350515534441</v>
      </c>
      <c r="N51">
        <v>95.289519890332343</v>
      </c>
      <c r="O51">
        <f t="shared" si="8"/>
        <v>0</v>
      </c>
      <c r="P51">
        <f t="shared" si="9"/>
        <v>1</v>
      </c>
      <c r="Q51">
        <f t="shared" si="10"/>
        <v>-1.5229999999999999</v>
      </c>
      <c r="R51">
        <v>0</v>
      </c>
      <c r="S51">
        <f t="shared" si="4"/>
        <v>-1.2077288998544748</v>
      </c>
      <c r="T51">
        <v>-0.33186785814072312</v>
      </c>
      <c r="U51">
        <f t="shared" si="5"/>
        <v>0.87586104171375179</v>
      </c>
    </row>
    <row r="52" spans="1:21">
      <c r="A52">
        <f t="shared" si="6"/>
        <v>51</v>
      </c>
      <c r="B52" s="2">
        <f t="shared" si="7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36">
        <v>4.5999999999999996</v>
      </c>
      <c r="H52" s="5">
        <v>10</v>
      </c>
      <c r="I52" s="41" t="s">
        <v>10</v>
      </c>
      <c r="J52" s="45" t="s">
        <v>17</v>
      </c>
      <c r="K52">
        <v>1141</v>
      </c>
      <c r="L52">
        <f t="shared" si="3"/>
        <v>1</v>
      </c>
      <c r="M52">
        <v>64.561395361687786</v>
      </c>
      <c r="N52">
        <v>65.331261820419186</v>
      </c>
      <c r="O52">
        <f t="shared" si="8"/>
        <v>0</v>
      </c>
      <c r="P52">
        <f t="shared" si="9"/>
        <v>1</v>
      </c>
      <c r="Q52">
        <f t="shared" si="10"/>
        <v>-2.1520000000000001</v>
      </c>
      <c r="R52">
        <v>0</v>
      </c>
      <c r="S52">
        <f t="shared" si="4"/>
        <v>-1.4185461951745288</v>
      </c>
      <c r="T52">
        <v>-1.7973984367698179</v>
      </c>
      <c r="U52">
        <f t="shared" si="5"/>
        <v>-0.37885224159528907</v>
      </c>
    </row>
    <row r="53" spans="1:21">
      <c r="A53">
        <f t="shared" si="6"/>
        <v>52</v>
      </c>
      <c r="B53" s="2">
        <f t="shared" si="7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36">
        <v>4.3</v>
      </c>
      <c r="H53" s="5">
        <v>10</v>
      </c>
      <c r="I53" s="41" t="s">
        <v>10</v>
      </c>
      <c r="J53" s="45" t="s">
        <v>19</v>
      </c>
      <c r="K53">
        <v>283</v>
      </c>
      <c r="L53">
        <f t="shared" si="3"/>
        <v>3</v>
      </c>
      <c r="M53">
        <v>98.832364451782198</v>
      </c>
      <c r="N53">
        <v>99.336983360327082</v>
      </c>
      <c r="O53">
        <f t="shared" si="8"/>
        <v>0</v>
      </c>
      <c r="P53">
        <f t="shared" si="9"/>
        <v>1</v>
      </c>
      <c r="Q53">
        <f t="shared" si="10"/>
        <v>-1.5229999999999999</v>
      </c>
      <c r="R53">
        <v>0</v>
      </c>
      <c r="S53">
        <f t="shared" si="4"/>
        <v>-1.648957330833384</v>
      </c>
      <c r="T53">
        <v>-1.2100734349470197</v>
      </c>
      <c r="U53">
        <f t="shared" si="5"/>
        <v>0.43888389588636434</v>
      </c>
    </row>
    <row r="54" spans="1:21">
      <c r="A54">
        <f t="shared" si="6"/>
        <v>53</v>
      </c>
      <c r="B54" s="2">
        <f t="shared" si="7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36">
        <v>5.3</v>
      </c>
      <c r="H54" s="5">
        <v>10</v>
      </c>
      <c r="I54" s="41" t="s">
        <v>10</v>
      </c>
      <c r="J54" s="45" t="s">
        <v>19</v>
      </c>
      <c r="K54">
        <v>283</v>
      </c>
      <c r="L54">
        <f t="shared" si="3"/>
        <v>3</v>
      </c>
      <c r="M54">
        <v>90.807039760856895</v>
      </c>
      <c r="N54">
        <v>91.355998544867575</v>
      </c>
      <c r="O54">
        <f t="shared" si="8"/>
        <v>0</v>
      </c>
      <c r="P54">
        <f t="shared" si="9"/>
        <v>1</v>
      </c>
      <c r="Q54">
        <f t="shared" si="10"/>
        <v>-1.5229999999999999</v>
      </c>
      <c r="R54">
        <v>0</v>
      </c>
      <c r="S54">
        <f t="shared" si="4"/>
        <v>-0.20867270203258492</v>
      </c>
      <c r="T54">
        <v>2.7280625726089593</v>
      </c>
      <c r="U54">
        <f t="shared" si="5"/>
        <v>2.9367352746415443</v>
      </c>
    </row>
    <row r="55" spans="1:21">
      <c r="A55">
        <f t="shared" si="6"/>
        <v>54</v>
      </c>
      <c r="B55" s="2">
        <f t="shared" si="7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36">
        <v>5.3</v>
      </c>
      <c r="H55" s="5">
        <v>10</v>
      </c>
      <c r="I55" s="41" t="s">
        <v>10</v>
      </c>
      <c r="J55" s="45" t="s">
        <v>17</v>
      </c>
      <c r="K55">
        <v>1141</v>
      </c>
      <c r="L55">
        <f t="shared" si="3"/>
        <v>1</v>
      </c>
      <c r="M55">
        <v>57.669099196433656</v>
      </c>
      <c r="N55">
        <v>58.529693337041373</v>
      </c>
      <c r="O55">
        <f t="shared" si="8"/>
        <v>0</v>
      </c>
      <c r="P55">
        <f t="shared" si="9"/>
        <v>1</v>
      </c>
      <c r="Q55">
        <f t="shared" si="10"/>
        <v>-2.1520000000000001</v>
      </c>
      <c r="R55">
        <v>0</v>
      </c>
      <c r="S55">
        <f t="shared" si="4"/>
        <v>-0.29680483896513876</v>
      </c>
      <c r="T55">
        <v>1.4113785497251272</v>
      </c>
      <c r="U55">
        <f t="shared" si="5"/>
        <v>1.708183388690266</v>
      </c>
    </row>
    <row r="56" spans="1:21">
      <c r="A56">
        <f t="shared" si="6"/>
        <v>55</v>
      </c>
      <c r="B56" s="2">
        <f t="shared" si="7"/>
        <v>29</v>
      </c>
      <c r="C56" s="24">
        <v>43331</v>
      </c>
      <c r="D56" s="4">
        <v>0.17386574074043892</v>
      </c>
      <c r="E56" s="5">
        <v>-8.24</v>
      </c>
      <c r="F56" s="5">
        <v>116.66</v>
      </c>
      <c r="G56" s="36">
        <v>6.3</v>
      </c>
      <c r="H56" s="5">
        <v>10</v>
      </c>
      <c r="I56" s="2" t="s">
        <v>10</v>
      </c>
      <c r="J56" s="45" t="s">
        <v>16</v>
      </c>
      <c r="K56">
        <v>770</v>
      </c>
      <c r="L56">
        <f t="shared" si="3"/>
        <v>1</v>
      </c>
      <c r="M56">
        <v>72.173831697702084</v>
      </c>
      <c r="N56">
        <v>72.863310259198542</v>
      </c>
      <c r="O56">
        <f t="shared" si="8"/>
        <v>0</v>
      </c>
      <c r="P56">
        <f t="shared" si="9"/>
        <v>1</v>
      </c>
      <c r="Q56">
        <f t="shared" si="10"/>
        <v>-2.1520000000000001</v>
      </c>
      <c r="R56">
        <v>1</v>
      </c>
      <c r="S56">
        <f t="shared" si="4"/>
        <v>1.0191114804650256</v>
      </c>
      <c r="T56">
        <v>1.3695481998682943</v>
      </c>
      <c r="U56">
        <f t="shared" si="5"/>
        <v>0.3504367194032687</v>
      </c>
    </row>
    <row r="57" spans="1:21">
      <c r="A57">
        <f t="shared" si="6"/>
        <v>56</v>
      </c>
      <c r="B57" s="2">
        <f t="shared" si="7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36">
        <v>6.3</v>
      </c>
      <c r="H57" s="5">
        <v>10</v>
      </c>
      <c r="I57" s="41" t="s">
        <v>10</v>
      </c>
      <c r="J57" s="45" t="s">
        <v>19</v>
      </c>
      <c r="K57">
        <v>283</v>
      </c>
      <c r="L57">
        <f t="shared" si="3"/>
        <v>3</v>
      </c>
      <c r="M57">
        <v>88.078759906858352</v>
      </c>
      <c r="N57">
        <v>88.644616005316408</v>
      </c>
      <c r="O57">
        <f t="shared" si="8"/>
        <v>0</v>
      </c>
      <c r="P57">
        <f t="shared" si="9"/>
        <v>1</v>
      </c>
      <c r="Q57">
        <f t="shared" si="10"/>
        <v>-1.5229999999999999</v>
      </c>
      <c r="R57">
        <v>0</v>
      </c>
      <c r="S57">
        <f t="shared" si="4"/>
        <v>1.3389830984768449</v>
      </c>
      <c r="T57">
        <v>2.5990386685862323</v>
      </c>
      <c r="U57">
        <f t="shared" si="5"/>
        <v>1.2600555701093874</v>
      </c>
    </row>
    <row r="58" spans="1:21">
      <c r="A58">
        <f t="shared" si="6"/>
        <v>57</v>
      </c>
      <c r="B58" s="2">
        <f t="shared" si="7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36">
        <v>6.3</v>
      </c>
      <c r="H58" s="5">
        <v>10</v>
      </c>
      <c r="I58" s="41" t="s">
        <v>10</v>
      </c>
      <c r="J58" s="45" t="s">
        <v>17</v>
      </c>
      <c r="K58">
        <v>1141</v>
      </c>
      <c r="L58">
        <f t="shared" si="3"/>
        <v>1</v>
      </c>
      <c r="M58">
        <v>60.586448333172122</v>
      </c>
      <c r="N58">
        <v>61.406170061551101</v>
      </c>
      <c r="O58">
        <f t="shared" si="8"/>
        <v>0</v>
      </c>
      <c r="P58">
        <f t="shared" si="9"/>
        <v>1</v>
      </c>
      <c r="Q58">
        <f t="shared" si="10"/>
        <v>-2.1520000000000001</v>
      </c>
      <c r="R58">
        <v>0</v>
      </c>
      <c r="S58">
        <f t="shared" si="4"/>
        <v>1.3221066439413489</v>
      </c>
      <c r="T58">
        <v>2.3953208206375556</v>
      </c>
      <c r="U58">
        <f t="shared" si="5"/>
        <v>1.0732141766962067</v>
      </c>
    </row>
    <row r="59" spans="1:21">
      <c r="A59">
        <f t="shared" si="6"/>
        <v>58</v>
      </c>
      <c r="B59" s="2">
        <f t="shared" si="7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36">
        <v>5</v>
      </c>
      <c r="H59" s="5">
        <v>10</v>
      </c>
      <c r="I59" s="41" t="s">
        <v>10</v>
      </c>
      <c r="J59" s="45" t="s">
        <v>19</v>
      </c>
      <c r="K59">
        <v>283</v>
      </c>
      <c r="L59">
        <f t="shared" si="3"/>
        <v>3</v>
      </c>
      <c r="M59">
        <v>57.516438882548499</v>
      </c>
      <c r="N59">
        <v>58.379283497915054</v>
      </c>
      <c r="O59">
        <f t="shared" si="8"/>
        <v>0</v>
      </c>
      <c r="P59">
        <f t="shared" si="9"/>
        <v>1</v>
      </c>
      <c r="Q59">
        <f t="shared" si="10"/>
        <v>-1.5229999999999999</v>
      </c>
      <c r="R59">
        <v>0</v>
      </c>
      <c r="S59">
        <f t="shared" si="4"/>
        <v>-0.10213016071519077</v>
      </c>
      <c r="T59">
        <v>7.0024232717181223E-2</v>
      </c>
      <c r="U59">
        <f t="shared" si="5"/>
        <v>0.17215439343237199</v>
      </c>
    </row>
    <row r="60" spans="1:21">
      <c r="A60">
        <f t="shared" si="6"/>
        <v>59</v>
      </c>
      <c r="B60" s="2">
        <f t="shared" si="7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36">
        <v>4.8</v>
      </c>
      <c r="H60" s="5">
        <v>10</v>
      </c>
      <c r="I60" s="41" t="s">
        <v>10</v>
      </c>
      <c r="J60" s="45" t="s">
        <v>13</v>
      </c>
      <c r="K60">
        <v>386</v>
      </c>
      <c r="L60">
        <f t="shared" si="3"/>
        <v>2</v>
      </c>
      <c r="M60">
        <v>235.11317602344423</v>
      </c>
      <c r="N60">
        <v>235.32574347026096</v>
      </c>
      <c r="O60">
        <f t="shared" si="8"/>
        <v>0</v>
      </c>
      <c r="P60">
        <f t="shared" si="9"/>
        <v>1</v>
      </c>
      <c r="Q60">
        <f t="shared" si="10"/>
        <v>-1.776</v>
      </c>
      <c r="R60">
        <v>0</v>
      </c>
      <c r="S60">
        <f t="shared" si="4"/>
        <v>-2.1799297919997063</v>
      </c>
      <c r="T60">
        <v>-1.0539294933200289</v>
      </c>
      <c r="U60">
        <f t="shared" si="5"/>
        <v>1.1260002986796773</v>
      </c>
    </row>
    <row r="61" spans="1:21">
      <c r="A61">
        <f t="shared" si="6"/>
        <v>60</v>
      </c>
      <c r="B61" s="2">
        <f t="shared" si="7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36">
        <v>4.5</v>
      </c>
      <c r="H61" s="5">
        <v>10</v>
      </c>
      <c r="I61" s="41" t="s">
        <v>10</v>
      </c>
      <c r="J61" s="45" t="s">
        <v>19</v>
      </c>
      <c r="K61">
        <v>283</v>
      </c>
      <c r="L61">
        <f t="shared" si="3"/>
        <v>3</v>
      </c>
      <c r="M61">
        <v>97.287891794045379</v>
      </c>
      <c r="N61">
        <v>97.800480007666025</v>
      </c>
      <c r="O61">
        <f t="shared" si="8"/>
        <v>0</v>
      </c>
      <c r="P61">
        <f t="shared" si="9"/>
        <v>1</v>
      </c>
      <c r="Q61">
        <f t="shared" si="10"/>
        <v>-1.5229999999999999</v>
      </c>
      <c r="R61">
        <v>0</v>
      </c>
      <c r="S61">
        <f t="shared" si="4"/>
        <v>-1.3686908816011902</v>
      </c>
      <c r="T61">
        <v>0.30004072411095772</v>
      </c>
      <c r="U61">
        <f t="shared" si="5"/>
        <v>1.668731605712148</v>
      </c>
    </row>
    <row r="62" spans="1:21">
      <c r="A62">
        <f t="shared" si="6"/>
        <v>61</v>
      </c>
      <c r="B62" s="2">
        <f t="shared" si="7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36">
        <v>4.7</v>
      </c>
      <c r="H62" s="5">
        <v>10</v>
      </c>
      <c r="I62" s="41" t="s">
        <v>10</v>
      </c>
      <c r="J62" s="45" t="s">
        <v>13</v>
      </c>
      <c r="K62">
        <v>386</v>
      </c>
      <c r="L62">
        <f t="shared" si="3"/>
        <v>2</v>
      </c>
      <c r="M62">
        <v>246.0405833277724</v>
      </c>
      <c r="N62">
        <v>246.243717979303</v>
      </c>
      <c r="O62">
        <f t="shared" si="8"/>
        <v>0</v>
      </c>
      <c r="P62">
        <f t="shared" si="9"/>
        <v>1</v>
      </c>
      <c r="Q62">
        <f t="shared" si="10"/>
        <v>-1.776</v>
      </c>
      <c r="R62">
        <v>1</v>
      </c>
      <c r="S62">
        <f t="shared" si="4"/>
        <v>-2.3585161770403813</v>
      </c>
      <c r="T62">
        <v>-2.2430950268960319</v>
      </c>
      <c r="U62">
        <f t="shared" si="5"/>
        <v>0.11542115014434939</v>
      </c>
    </row>
    <row r="63" spans="1:21">
      <c r="A63">
        <f t="shared" si="6"/>
        <v>62</v>
      </c>
      <c r="B63" s="2">
        <f t="shared" si="7"/>
        <v>33</v>
      </c>
      <c r="C63" s="18">
        <v>43331</v>
      </c>
      <c r="D63" s="19">
        <v>0.97910879629629621</v>
      </c>
      <c r="E63" s="20">
        <v>-8.17</v>
      </c>
      <c r="F63" s="20">
        <v>116.51</v>
      </c>
      <c r="G63" s="36">
        <v>4.7</v>
      </c>
      <c r="H63" s="5">
        <v>10</v>
      </c>
      <c r="I63" s="2" t="s">
        <v>10</v>
      </c>
      <c r="J63" s="45" t="s">
        <v>16</v>
      </c>
      <c r="K63">
        <v>770</v>
      </c>
      <c r="L63">
        <f t="shared" si="3"/>
        <v>1</v>
      </c>
      <c r="M63">
        <v>71.029525733797968</v>
      </c>
      <c r="N63">
        <v>71.730004363364344</v>
      </c>
      <c r="O63">
        <f t="shared" si="8"/>
        <v>0</v>
      </c>
      <c r="P63">
        <f t="shared" si="9"/>
        <v>1</v>
      </c>
      <c r="Q63">
        <f t="shared" si="10"/>
        <v>-2.1520000000000001</v>
      </c>
      <c r="R63">
        <v>1</v>
      </c>
      <c r="S63">
        <f t="shared" si="4"/>
        <v>-1.3874736039880984</v>
      </c>
      <c r="T63">
        <v>-2.0808963843863406</v>
      </c>
      <c r="U63">
        <f t="shared" si="5"/>
        <v>-0.69342278039824223</v>
      </c>
    </row>
    <row r="64" spans="1:21">
      <c r="A64">
        <f t="shared" si="6"/>
        <v>63</v>
      </c>
      <c r="B64" s="2">
        <f t="shared" si="7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36">
        <v>4.7</v>
      </c>
      <c r="H64" s="5">
        <v>10</v>
      </c>
      <c r="I64" s="41" t="s">
        <v>10</v>
      </c>
      <c r="J64" s="45" t="s">
        <v>17</v>
      </c>
      <c r="K64">
        <v>1141</v>
      </c>
      <c r="L64">
        <f t="shared" si="3"/>
        <v>1</v>
      </c>
      <c r="M64">
        <v>75.443494535765566</v>
      </c>
      <c r="N64">
        <v>76.103356481617084</v>
      </c>
      <c r="O64">
        <f t="shared" si="8"/>
        <v>0</v>
      </c>
      <c r="P64">
        <f t="shared" si="9"/>
        <v>1</v>
      </c>
      <c r="Q64">
        <f t="shared" si="10"/>
        <v>-2.1520000000000001</v>
      </c>
      <c r="R64">
        <v>1</v>
      </c>
      <c r="S64">
        <f t="shared" si="4"/>
        <v>-1.4539025584218075</v>
      </c>
      <c r="T64">
        <v>-2.0239014632084005</v>
      </c>
      <c r="U64">
        <f t="shared" si="5"/>
        <v>-0.56999890478659299</v>
      </c>
    </row>
    <row r="65" spans="1:21">
      <c r="A65">
        <f t="shared" si="6"/>
        <v>64</v>
      </c>
      <c r="B65" s="2">
        <f t="shared" si="7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36">
        <v>5.0999999999999996</v>
      </c>
      <c r="H65" s="5">
        <v>10</v>
      </c>
      <c r="I65" s="41" t="s">
        <v>10</v>
      </c>
      <c r="J65" s="45" t="s">
        <v>14</v>
      </c>
      <c r="K65">
        <v>290</v>
      </c>
      <c r="L65">
        <f t="shared" si="3"/>
        <v>3</v>
      </c>
      <c r="M65">
        <v>177.63849874835083</v>
      </c>
      <c r="N65">
        <v>177.91974662068245</v>
      </c>
      <c r="O65">
        <f t="shared" si="8"/>
        <v>0</v>
      </c>
      <c r="P65">
        <f t="shared" si="9"/>
        <v>1</v>
      </c>
      <c r="Q65">
        <f t="shared" si="10"/>
        <v>-1.5229999999999999</v>
      </c>
      <c r="R65">
        <v>0</v>
      </c>
      <c r="S65">
        <f t="shared" si="4"/>
        <v>-1.2299968980001816</v>
      </c>
      <c r="T65">
        <v>-3.0647170488101356E-2</v>
      </c>
      <c r="U65">
        <f t="shared" si="5"/>
        <v>1.1993497275120804</v>
      </c>
    </row>
    <row r="66" spans="1:21">
      <c r="A66">
        <f t="shared" si="6"/>
        <v>65</v>
      </c>
      <c r="B66" s="2">
        <f t="shared" si="7"/>
        <v>34</v>
      </c>
      <c r="C66" s="18">
        <v>43332</v>
      </c>
      <c r="D66" s="19">
        <v>6.2870370370370368E-2</v>
      </c>
      <c r="E66" s="20">
        <v>-8.27</v>
      </c>
      <c r="F66" s="20">
        <v>116.73</v>
      </c>
      <c r="G66" s="36">
        <v>5.0999999999999996</v>
      </c>
      <c r="H66" s="20">
        <v>10</v>
      </c>
      <c r="I66" s="2" t="s">
        <v>10</v>
      </c>
      <c r="J66" s="45" t="s">
        <v>16</v>
      </c>
      <c r="K66">
        <v>770</v>
      </c>
      <c r="L66">
        <f t="shared" si="3"/>
        <v>1</v>
      </c>
      <c r="M66">
        <v>74.49554657433103</v>
      </c>
      <c r="N66">
        <v>75.163731010430311</v>
      </c>
      <c r="O66">
        <f t="shared" ref="O66:O97" si="11">IF(H66&lt;15,0,1)</f>
        <v>0</v>
      </c>
      <c r="P66">
        <f t="shared" ref="P66:P97" si="12">IF(I66="reverse",1,0)</f>
        <v>1</v>
      </c>
      <c r="Q66">
        <f t="shared" ref="Q66:Q97" si="13">IF(L66=1,$W$8,IF(L66=2,$W$9,$W$10))</f>
        <v>-2.1520000000000001</v>
      </c>
      <c r="R66">
        <v>1</v>
      </c>
      <c r="S66">
        <f t="shared" si="4"/>
        <v>-0.88908596963519826</v>
      </c>
      <c r="T66">
        <v>-1.5609543764898202</v>
      </c>
      <c r="U66">
        <f t="shared" si="5"/>
        <v>-0.6718684068546219</v>
      </c>
    </row>
    <row r="67" spans="1:21">
      <c r="A67">
        <f t="shared" si="6"/>
        <v>66</v>
      </c>
      <c r="B67" s="2">
        <f t="shared" si="7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36">
        <v>5.0999999999999996</v>
      </c>
      <c r="H67" s="5">
        <v>10</v>
      </c>
      <c r="I67" s="41" t="s">
        <v>10</v>
      </c>
      <c r="J67" s="45" t="s">
        <v>19</v>
      </c>
      <c r="K67">
        <v>283</v>
      </c>
      <c r="L67">
        <f t="shared" ref="L67:L130" si="14">IF(K67&gt;600,1,IF(AND(K67&lt;=600,K67&gt;300),2,3))</f>
        <v>3</v>
      </c>
      <c r="M67">
        <v>79.652811637316844</v>
      </c>
      <c r="N67">
        <v>80.278081701856067</v>
      </c>
      <c r="O67">
        <f t="shared" si="11"/>
        <v>0</v>
      </c>
      <c r="P67">
        <f t="shared" si="12"/>
        <v>1</v>
      </c>
      <c r="Q67">
        <f t="shared" si="13"/>
        <v>-1.5229999999999999</v>
      </c>
      <c r="R67">
        <v>0</v>
      </c>
      <c r="S67">
        <f t="shared" ref="S67:S130" si="15">$W$2*G67+$W$3*N67-LN(N67+($W$4*EXP($W$5*G67)))+$W$6*(H67-15)*O67+$W$7*P67+Q67</f>
        <v>-0.33683247121848048</v>
      </c>
      <c r="T67">
        <v>0.49807824203057305</v>
      </c>
      <c r="U67">
        <f t="shared" ref="U67:U130" si="16">T67-S67</f>
        <v>0.83491071324905353</v>
      </c>
    </row>
    <row r="68" spans="1:21">
      <c r="A68">
        <f t="shared" ref="A68:A131" si="17">A67+1</f>
        <v>67</v>
      </c>
      <c r="B68" s="2">
        <f t="shared" si="7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36">
        <v>5.0999999999999996</v>
      </c>
      <c r="H68" s="5">
        <v>10</v>
      </c>
      <c r="I68" s="41" t="s">
        <v>10</v>
      </c>
      <c r="J68" s="45" t="s">
        <v>17</v>
      </c>
      <c r="K68">
        <v>1141</v>
      </c>
      <c r="L68">
        <f t="shared" si="14"/>
        <v>1</v>
      </c>
      <c r="M68">
        <v>54.678992298396473</v>
      </c>
      <c r="N68">
        <v>55.585899280016157</v>
      </c>
      <c r="O68">
        <f t="shared" si="11"/>
        <v>0</v>
      </c>
      <c r="P68">
        <f t="shared" si="12"/>
        <v>1</v>
      </c>
      <c r="Q68">
        <f t="shared" si="13"/>
        <v>-2.1520000000000001</v>
      </c>
      <c r="R68">
        <v>0</v>
      </c>
      <c r="S68">
        <f t="shared" si="15"/>
        <v>-0.5271259605073364</v>
      </c>
      <c r="T68">
        <v>-0.68997076046020533</v>
      </c>
      <c r="U68">
        <f t="shared" si="16"/>
        <v>-0.16284479995286893</v>
      </c>
    </row>
    <row r="69" spans="1:21">
      <c r="A69">
        <f t="shared" si="17"/>
        <v>68</v>
      </c>
      <c r="B69" s="2">
        <f t="shared" si="7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36">
        <v>5</v>
      </c>
      <c r="H69" s="5">
        <v>10</v>
      </c>
      <c r="I69" s="41" t="s">
        <v>10</v>
      </c>
      <c r="J69" s="45" t="s">
        <v>14</v>
      </c>
      <c r="K69">
        <v>290</v>
      </c>
      <c r="L69">
        <f t="shared" si="14"/>
        <v>3</v>
      </c>
      <c r="M69">
        <v>206.86371328942161</v>
      </c>
      <c r="N69">
        <v>207.10527727677058</v>
      </c>
      <c r="O69">
        <f t="shared" si="11"/>
        <v>0</v>
      </c>
      <c r="P69">
        <f t="shared" si="12"/>
        <v>1</v>
      </c>
      <c r="Q69">
        <f t="shared" si="13"/>
        <v>-1.5229999999999999</v>
      </c>
      <c r="R69">
        <v>1</v>
      </c>
      <c r="S69">
        <f t="shared" si="15"/>
        <v>-1.5276451721291426</v>
      </c>
      <c r="T69">
        <v>-1.0512769672051825</v>
      </c>
      <c r="U69">
        <f t="shared" si="16"/>
        <v>0.47636820492396015</v>
      </c>
    </row>
    <row r="70" spans="1:21">
      <c r="A70">
        <f t="shared" si="17"/>
        <v>69</v>
      </c>
      <c r="B70" s="2">
        <f t="shared" si="7"/>
        <v>36</v>
      </c>
      <c r="C70" s="18">
        <v>43336</v>
      </c>
      <c r="D70" s="19">
        <v>4.763888888888889E-2</v>
      </c>
      <c r="E70" s="20">
        <v>-8.26</v>
      </c>
      <c r="F70" s="20">
        <v>116.14</v>
      </c>
      <c r="G70" s="36">
        <v>4.4000000000000004</v>
      </c>
      <c r="H70" s="20">
        <v>10</v>
      </c>
      <c r="I70" s="2" t="s">
        <v>10</v>
      </c>
      <c r="J70" s="45" t="s">
        <v>16</v>
      </c>
      <c r="K70">
        <v>770</v>
      </c>
      <c r="L70">
        <f t="shared" si="14"/>
        <v>1</v>
      </c>
      <c r="M70">
        <v>58.306907947928202</v>
      </c>
      <c r="N70">
        <v>59.158224402429227</v>
      </c>
      <c r="O70">
        <f t="shared" si="11"/>
        <v>0</v>
      </c>
      <c r="P70">
        <f t="shared" si="12"/>
        <v>1</v>
      </c>
      <c r="Q70">
        <f t="shared" si="13"/>
        <v>-2.1520000000000001</v>
      </c>
      <c r="R70">
        <v>1</v>
      </c>
      <c r="S70">
        <f t="shared" si="15"/>
        <v>-1.5790993433491447</v>
      </c>
      <c r="T70">
        <v>-1.8784313916204678</v>
      </c>
      <c r="U70">
        <f t="shared" si="16"/>
        <v>-0.29933204827132309</v>
      </c>
    </row>
    <row r="71" spans="1:21">
      <c r="A71">
        <f t="shared" si="17"/>
        <v>70</v>
      </c>
      <c r="B71" s="2">
        <f t="shared" ref="B71:B134" si="18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36">
        <v>4.4000000000000004</v>
      </c>
      <c r="H71" s="5">
        <v>10</v>
      </c>
      <c r="I71" s="41" t="s">
        <v>10</v>
      </c>
      <c r="J71" s="45" t="s">
        <v>19</v>
      </c>
      <c r="K71">
        <v>283</v>
      </c>
      <c r="L71">
        <f t="shared" si="14"/>
        <v>3</v>
      </c>
      <c r="M71">
        <v>143.68082400490985</v>
      </c>
      <c r="N71">
        <v>144.02839715392892</v>
      </c>
      <c r="O71">
        <f t="shared" si="11"/>
        <v>0</v>
      </c>
      <c r="P71">
        <f t="shared" si="12"/>
        <v>1</v>
      </c>
      <c r="Q71">
        <f t="shared" si="13"/>
        <v>-1.5229999999999999</v>
      </c>
      <c r="R71">
        <v>1</v>
      </c>
      <c r="S71">
        <f t="shared" si="15"/>
        <v>-1.9168096691350449</v>
      </c>
      <c r="T71">
        <v>-2.1823853252461483</v>
      </c>
      <c r="U71">
        <f t="shared" si="16"/>
        <v>-0.26557565611110334</v>
      </c>
    </row>
    <row r="72" spans="1:21">
      <c r="A72">
        <f t="shared" si="17"/>
        <v>71</v>
      </c>
      <c r="B72" s="2">
        <f t="shared" si="18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36">
        <v>4.4000000000000004</v>
      </c>
      <c r="H72" s="5">
        <v>10</v>
      </c>
      <c r="I72" s="41" t="s">
        <v>10</v>
      </c>
      <c r="J72" s="45" t="s">
        <v>17</v>
      </c>
      <c r="K72">
        <v>1141</v>
      </c>
      <c r="L72">
        <f t="shared" si="14"/>
        <v>1</v>
      </c>
      <c r="M72">
        <v>98.06698322263297</v>
      </c>
      <c r="N72">
        <v>98.575520279571322</v>
      </c>
      <c r="O72">
        <f t="shared" si="11"/>
        <v>0</v>
      </c>
      <c r="P72">
        <f t="shared" si="12"/>
        <v>1</v>
      </c>
      <c r="Q72">
        <f t="shared" si="13"/>
        <v>-2.1520000000000001</v>
      </c>
      <c r="R72">
        <v>1</v>
      </c>
      <c r="S72">
        <f t="shared" si="15"/>
        <v>-2.1382120283047445</v>
      </c>
      <c r="T72">
        <v>-3.330061219446411</v>
      </c>
      <c r="U72">
        <f t="shared" si="16"/>
        <v>-1.1918491911416664</v>
      </c>
    </row>
    <row r="73" spans="1:21">
      <c r="A73">
        <f t="shared" si="17"/>
        <v>72</v>
      </c>
      <c r="B73" s="2">
        <f t="shared" si="18"/>
        <v>37</v>
      </c>
      <c r="C73" s="18">
        <v>43337</v>
      </c>
      <c r="D73" s="19">
        <v>0.46883101851851849</v>
      </c>
      <c r="E73" s="20">
        <v>-8.2799999999999994</v>
      </c>
      <c r="F73" s="20">
        <v>116.16</v>
      </c>
      <c r="G73" s="36">
        <v>3.5</v>
      </c>
      <c r="H73" s="20">
        <v>10</v>
      </c>
      <c r="I73" s="2" t="s">
        <v>10</v>
      </c>
      <c r="J73" s="45" t="s">
        <v>16</v>
      </c>
      <c r="K73">
        <v>770</v>
      </c>
      <c r="L73">
        <f t="shared" si="14"/>
        <v>1</v>
      </c>
      <c r="M73">
        <v>55.597799097160255</v>
      </c>
      <c r="N73">
        <v>56.489957199914691</v>
      </c>
      <c r="O73">
        <f t="shared" si="11"/>
        <v>0</v>
      </c>
      <c r="P73">
        <f t="shared" si="12"/>
        <v>1</v>
      </c>
      <c r="Q73">
        <f t="shared" si="13"/>
        <v>-2.1520000000000001</v>
      </c>
      <c r="R73">
        <v>1</v>
      </c>
      <c r="S73">
        <f t="shared" si="15"/>
        <v>-2.7233274292409551</v>
      </c>
      <c r="T73">
        <v>-3.9571940186363626</v>
      </c>
      <c r="U73">
        <f t="shared" si="16"/>
        <v>-1.2338665893954075</v>
      </c>
    </row>
    <row r="74" spans="1:21">
      <c r="A74">
        <f t="shared" si="17"/>
        <v>73</v>
      </c>
      <c r="B74" s="2">
        <f t="shared" si="18"/>
        <v>38</v>
      </c>
      <c r="C74" s="18">
        <v>43338</v>
      </c>
      <c r="D74" s="19">
        <v>6.4780092592592597E-2</v>
      </c>
      <c r="E74" s="20">
        <v>-8.5500000000000007</v>
      </c>
      <c r="F74" s="20">
        <v>116.93</v>
      </c>
      <c r="G74" s="36">
        <v>5.4</v>
      </c>
      <c r="H74" s="20">
        <v>11</v>
      </c>
      <c r="I74" s="2" t="s">
        <v>10</v>
      </c>
      <c r="J74" s="45" t="s">
        <v>16</v>
      </c>
      <c r="K74">
        <v>770</v>
      </c>
      <c r="L74">
        <f t="shared" si="14"/>
        <v>1</v>
      </c>
      <c r="M74">
        <v>76.217387166239277</v>
      </c>
      <c r="N74">
        <v>77.007078287962699</v>
      </c>
      <c r="O74">
        <f t="shared" si="11"/>
        <v>0</v>
      </c>
      <c r="P74">
        <f t="shared" si="12"/>
        <v>1</v>
      </c>
      <c r="Q74">
        <f t="shared" si="13"/>
        <v>-2.1520000000000001</v>
      </c>
      <c r="R74">
        <v>0</v>
      </c>
      <c r="S74">
        <f t="shared" si="15"/>
        <v>-0.49156164825816062</v>
      </c>
      <c r="T74">
        <v>-0.35180422786845772</v>
      </c>
      <c r="U74">
        <f t="shared" si="16"/>
        <v>0.1397574203897029</v>
      </c>
    </row>
    <row r="75" spans="1:21">
      <c r="A75">
        <f t="shared" si="17"/>
        <v>74</v>
      </c>
      <c r="B75" s="2">
        <f t="shared" si="18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36">
        <v>5.4</v>
      </c>
      <c r="H75" s="5">
        <v>11</v>
      </c>
      <c r="I75" s="41" t="s">
        <v>10</v>
      </c>
      <c r="J75" s="45" t="s">
        <v>19</v>
      </c>
      <c r="K75">
        <v>283</v>
      </c>
      <c r="L75">
        <f t="shared" si="14"/>
        <v>3</v>
      </c>
      <c r="M75">
        <v>54.101593478657179</v>
      </c>
      <c r="N75">
        <v>55.208535725283284</v>
      </c>
      <c r="O75">
        <f t="shared" si="11"/>
        <v>0</v>
      </c>
      <c r="P75">
        <f t="shared" si="12"/>
        <v>1</v>
      </c>
      <c r="Q75">
        <f t="shared" si="13"/>
        <v>-1.5229999999999999</v>
      </c>
      <c r="R75">
        <v>0</v>
      </c>
      <c r="S75">
        <f t="shared" si="15"/>
        <v>0.55915681498959979</v>
      </c>
      <c r="T75">
        <v>2.1899223829676355</v>
      </c>
      <c r="U75">
        <f t="shared" si="16"/>
        <v>1.6307655679780357</v>
      </c>
    </row>
    <row r="76" spans="1:21">
      <c r="A76">
        <f t="shared" si="17"/>
        <v>75</v>
      </c>
      <c r="B76" s="2">
        <f t="shared" si="18"/>
        <v>38</v>
      </c>
      <c r="C76" s="3">
        <v>43338</v>
      </c>
      <c r="D76" s="4">
        <v>6.4780092592592597E-2</v>
      </c>
      <c r="E76" s="20">
        <v>-8.5500000000000007</v>
      </c>
      <c r="F76" s="20">
        <v>116.93</v>
      </c>
      <c r="G76" s="36">
        <v>5.4</v>
      </c>
      <c r="H76" s="5">
        <v>11</v>
      </c>
      <c r="I76" s="41" t="s">
        <v>10</v>
      </c>
      <c r="J76" s="45" t="s">
        <v>17</v>
      </c>
      <c r="K76">
        <v>1141</v>
      </c>
      <c r="L76">
        <f t="shared" si="14"/>
        <v>1</v>
      </c>
      <c r="M76">
        <v>21.567600659509985</v>
      </c>
      <c r="N76">
        <v>24.210770293571734</v>
      </c>
      <c r="O76">
        <f t="shared" si="11"/>
        <v>0</v>
      </c>
      <c r="P76">
        <f t="shared" si="12"/>
        <v>1</v>
      </c>
      <c r="Q76">
        <f t="shared" si="13"/>
        <v>-2.1520000000000001</v>
      </c>
      <c r="R76">
        <v>0</v>
      </c>
      <c r="S76">
        <f t="shared" si="15"/>
        <v>1.2667713197894619</v>
      </c>
      <c r="T76">
        <v>1.2667705275891445</v>
      </c>
      <c r="U76">
        <f t="shared" si="16"/>
        <v>-7.9220031734550389E-7</v>
      </c>
    </row>
    <row r="77" spans="1:21">
      <c r="A77">
        <f t="shared" si="17"/>
        <v>76</v>
      </c>
      <c r="B77" s="2">
        <f t="shared" si="18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36">
        <v>4.8</v>
      </c>
      <c r="H77" s="5">
        <v>10</v>
      </c>
      <c r="I77" s="41" t="s">
        <v>10</v>
      </c>
      <c r="J77" s="45" t="s">
        <v>19</v>
      </c>
      <c r="K77">
        <v>283</v>
      </c>
      <c r="L77">
        <f t="shared" si="14"/>
        <v>3</v>
      </c>
      <c r="M77">
        <v>150.88889346446217</v>
      </c>
      <c r="N77">
        <v>151.21990004933153</v>
      </c>
      <c r="O77">
        <f t="shared" si="11"/>
        <v>0</v>
      </c>
      <c r="P77">
        <f t="shared" si="12"/>
        <v>1</v>
      </c>
      <c r="Q77">
        <f t="shared" si="13"/>
        <v>-1.5229999999999999</v>
      </c>
      <c r="R77">
        <v>1</v>
      </c>
      <c r="S77">
        <f t="shared" si="15"/>
        <v>-1.4468818939473733</v>
      </c>
      <c r="T77">
        <v>-1.0462007814731737</v>
      </c>
      <c r="U77">
        <f t="shared" si="16"/>
        <v>0.40068111247419957</v>
      </c>
    </row>
    <row r="78" spans="1:21">
      <c r="A78">
        <f t="shared" si="17"/>
        <v>77</v>
      </c>
      <c r="B78" s="2">
        <f t="shared" si="18"/>
        <v>39</v>
      </c>
      <c r="C78" s="3">
        <v>43343</v>
      </c>
      <c r="D78" s="4">
        <v>0.1092013888888889</v>
      </c>
      <c r="E78" s="20">
        <v>-8.3699999999999992</v>
      </c>
      <c r="F78" s="20">
        <v>116.06</v>
      </c>
      <c r="G78" s="36">
        <v>4.8</v>
      </c>
      <c r="H78" s="5">
        <v>10</v>
      </c>
      <c r="I78" s="41" t="s">
        <v>10</v>
      </c>
      <c r="J78" s="45" t="s">
        <v>17</v>
      </c>
      <c r="K78">
        <v>1141</v>
      </c>
      <c r="L78">
        <f t="shared" si="14"/>
        <v>1</v>
      </c>
      <c r="M78">
        <v>100.06290501663518</v>
      </c>
      <c r="N78">
        <v>100.56134923701131</v>
      </c>
      <c r="O78">
        <f t="shared" si="11"/>
        <v>0</v>
      </c>
      <c r="P78">
        <f t="shared" si="12"/>
        <v>1</v>
      </c>
      <c r="Q78">
        <f t="shared" si="13"/>
        <v>-2.1520000000000001</v>
      </c>
      <c r="R78">
        <v>1</v>
      </c>
      <c r="S78">
        <f t="shared" si="15"/>
        <v>-1.6291263102806288</v>
      </c>
      <c r="T78">
        <v>-1.9685844161440187</v>
      </c>
      <c r="U78">
        <f t="shared" si="16"/>
        <v>-0.33945810586338987</v>
      </c>
    </row>
    <row r="79" spans="1:21">
      <c r="A79">
        <f t="shared" si="17"/>
        <v>78</v>
      </c>
      <c r="B79" s="2">
        <f t="shared" si="18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36">
        <v>4</v>
      </c>
      <c r="H79" s="5">
        <v>10</v>
      </c>
      <c r="I79" s="41" t="s">
        <v>10</v>
      </c>
      <c r="J79" s="45" t="s">
        <v>14</v>
      </c>
      <c r="K79">
        <v>290</v>
      </c>
      <c r="L79">
        <f t="shared" si="14"/>
        <v>3</v>
      </c>
      <c r="M79">
        <v>167.64476863286811</v>
      </c>
      <c r="N79">
        <v>167.94275349049116</v>
      </c>
      <c r="O79">
        <f t="shared" si="11"/>
        <v>0</v>
      </c>
      <c r="P79">
        <f t="shared" si="12"/>
        <v>1</v>
      </c>
      <c r="Q79">
        <f t="shared" si="13"/>
        <v>-1.5229999999999999</v>
      </c>
      <c r="R79">
        <v>0</v>
      </c>
      <c r="S79">
        <f t="shared" si="15"/>
        <v>-2.5975226195944687</v>
      </c>
      <c r="T79">
        <v>-3.0521875638676601</v>
      </c>
      <c r="U79">
        <f t="shared" si="16"/>
        <v>-0.45466494427319137</v>
      </c>
    </row>
    <row r="80" spans="1:21">
      <c r="A80">
        <f t="shared" si="17"/>
        <v>79</v>
      </c>
      <c r="B80" s="2">
        <f t="shared" si="18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36">
        <v>4</v>
      </c>
      <c r="H80" s="5">
        <v>10</v>
      </c>
      <c r="I80" s="41" t="s">
        <v>10</v>
      </c>
      <c r="J80" s="45" t="s">
        <v>17</v>
      </c>
      <c r="K80">
        <v>1141</v>
      </c>
      <c r="L80">
        <f t="shared" si="14"/>
        <v>1</v>
      </c>
      <c r="M80">
        <v>63.28816253904116</v>
      </c>
      <c r="N80">
        <v>64.073329221822803</v>
      </c>
      <c r="O80">
        <f t="shared" si="11"/>
        <v>0</v>
      </c>
      <c r="P80">
        <f t="shared" si="12"/>
        <v>1</v>
      </c>
      <c r="Q80">
        <f t="shared" si="13"/>
        <v>-2.1520000000000001</v>
      </c>
      <c r="R80">
        <v>0</v>
      </c>
      <c r="S80">
        <f t="shared" si="15"/>
        <v>-2.2011478061969596</v>
      </c>
      <c r="T80">
        <v>-3.1425737487712224</v>
      </c>
      <c r="U80">
        <f t="shared" si="16"/>
        <v>-0.94142594257426282</v>
      </c>
    </row>
    <row r="81" spans="1:21">
      <c r="A81">
        <f t="shared" si="17"/>
        <v>80</v>
      </c>
      <c r="B81" s="2">
        <f t="shared" si="18"/>
        <v>41</v>
      </c>
      <c r="C81" s="25">
        <v>43346</v>
      </c>
      <c r="D81" s="26">
        <v>0.8206134259259259</v>
      </c>
      <c r="E81" s="27">
        <v>-8.2799999999999994</v>
      </c>
      <c r="F81" s="27">
        <v>116.12</v>
      </c>
      <c r="G81" s="36">
        <v>3.8</v>
      </c>
      <c r="H81" s="27">
        <v>12</v>
      </c>
      <c r="I81" s="2" t="s">
        <v>10</v>
      </c>
      <c r="J81" s="45" t="s">
        <v>16</v>
      </c>
      <c r="K81">
        <v>770</v>
      </c>
      <c r="L81">
        <f t="shared" si="14"/>
        <v>1</v>
      </c>
      <c r="M81">
        <v>56.817893431278847</v>
      </c>
      <c r="N81">
        <v>58.071275291387906</v>
      </c>
      <c r="O81">
        <f t="shared" si="11"/>
        <v>0</v>
      </c>
      <c r="P81">
        <f t="shared" si="12"/>
        <v>1</v>
      </c>
      <c r="Q81">
        <f t="shared" si="13"/>
        <v>-2.1520000000000001</v>
      </c>
      <c r="R81">
        <v>1</v>
      </c>
      <c r="S81">
        <f t="shared" si="15"/>
        <v>-2.3593147190515813</v>
      </c>
      <c r="T81">
        <v>-3.5499775952525972</v>
      </c>
      <c r="U81">
        <f t="shared" si="16"/>
        <v>-1.1906628762010159</v>
      </c>
    </row>
    <row r="82" spans="1:21">
      <c r="A82">
        <f t="shared" si="17"/>
        <v>81</v>
      </c>
      <c r="B82" s="2">
        <f t="shared" si="18"/>
        <v>42</v>
      </c>
      <c r="C82" s="25">
        <v>43347</v>
      </c>
      <c r="D82" s="26">
        <v>0.43399305555794854</v>
      </c>
      <c r="E82" s="5">
        <v>-8.49</v>
      </c>
      <c r="F82" s="5">
        <v>116.93</v>
      </c>
      <c r="G82" s="36">
        <v>3.8</v>
      </c>
      <c r="H82" s="5">
        <v>10</v>
      </c>
      <c r="I82" s="2" t="s">
        <v>10</v>
      </c>
      <c r="J82" s="45" t="s">
        <v>16</v>
      </c>
      <c r="K82">
        <v>770</v>
      </c>
      <c r="L82">
        <f t="shared" si="14"/>
        <v>1</v>
      </c>
      <c r="M82">
        <v>78.572321998070137</v>
      </c>
      <c r="N82">
        <v>79.206122138180817</v>
      </c>
      <c r="O82">
        <f t="shared" si="11"/>
        <v>0</v>
      </c>
      <c r="P82">
        <f t="shared" si="12"/>
        <v>1</v>
      </c>
      <c r="Q82">
        <f t="shared" si="13"/>
        <v>-2.1520000000000001</v>
      </c>
      <c r="R82">
        <v>0</v>
      </c>
      <c r="S82">
        <f t="shared" si="15"/>
        <v>-2.6899472644519333</v>
      </c>
      <c r="T82">
        <v>-4.1243786118485799</v>
      </c>
      <c r="U82">
        <f t="shared" si="16"/>
        <v>-1.4344313473966466</v>
      </c>
    </row>
    <row r="83" spans="1:21">
      <c r="A83">
        <f t="shared" si="17"/>
        <v>82</v>
      </c>
      <c r="B83" s="2">
        <f t="shared" si="18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36">
        <v>5</v>
      </c>
      <c r="H83" s="5">
        <v>10</v>
      </c>
      <c r="I83" s="41" t="s">
        <v>10</v>
      </c>
      <c r="J83" s="45" t="s">
        <v>14</v>
      </c>
      <c r="K83">
        <v>290</v>
      </c>
      <c r="L83">
        <f t="shared" si="14"/>
        <v>3</v>
      </c>
      <c r="M83">
        <v>148.74898529807919</v>
      </c>
      <c r="N83">
        <v>149.08474310675851</v>
      </c>
      <c r="O83">
        <f t="shared" si="11"/>
        <v>0</v>
      </c>
      <c r="P83">
        <f t="shared" si="12"/>
        <v>1</v>
      </c>
      <c r="Q83">
        <f t="shared" si="13"/>
        <v>-1.5229999999999999</v>
      </c>
      <c r="R83">
        <v>0</v>
      </c>
      <c r="S83">
        <f t="shared" si="15"/>
        <v>-1.1677319659174108</v>
      </c>
      <c r="T83">
        <v>-0.2162990576020421</v>
      </c>
      <c r="U83">
        <f t="shared" si="16"/>
        <v>0.95143290831536875</v>
      </c>
    </row>
    <row r="84" spans="1:21">
      <c r="A84">
        <f t="shared" si="17"/>
        <v>83</v>
      </c>
      <c r="B84" s="2">
        <f t="shared" si="18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36">
        <v>4.9000000000000004</v>
      </c>
      <c r="H84" s="5">
        <v>10</v>
      </c>
      <c r="I84" s="41" t="s">
        <v>10</v>
      </c>
      <c r="J84" s="45" t="s">
        <v>15</v>
      </c>
      <c r="K84">
        <v>210</v>
      </c>
      <c r="L84">
        <f t="shared" si="14"/>
        <v>3</v>
      </c>
      <c r="M84">
        <v>70.821365178451273</v>
      </c>
      <c r="N84">
        <v>71.523882485080122</v>
      </c>
      <c r="O84">
        <f t="shared" si="11"/>
        <v>0</v>
      </c>
      <c r="P84">
        <f t="shared" si="12"/>
        <v>1</v>
      </c>
      <c r="Q84">
        <f t="shared" si="13"/>
        <v>-1.5229999999999999</v>
      </c>
      <c r="R84">
        <v>1</v>
      </c>
      <c r="S84">
        <f t="shared" si="15"/>
        <v>-0.48082835694206505</v>
      </c>
      <c r="T84">
        <v>-0.86574394548319444</v>
      </c>
      <c r="U84">
        <f t="shared" si="16"/>
        <v>-0.38491558854112939</v>
      </c>
    </row>
    <row r="85" spans="1:21">
      <c r="A85">
        <f t="shared" si="17"/>
        <v>84</v>
      </c>
      <c r="B85" s="2">
        <f t="shared" si="18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36">
        <v>4.9000000000000004</v>
      </c>
      <c r="H85" s="5">
        <v>10</v>
      </c>
      <c r="I85" s="41" t="s">
        <v>10</v>
      </c>
      <c r="J85" s="45" t="s">
        <v>19</v>
      </c>
      <c r="K85">
        <v>283</v>
      </c>
      <c r="L85">
        <f t="shared" si="14"/>
        <v>3</v>
      </c>
      <c r="M85">
        <v>87.409156199622487</v>
      </c>
      <c r="N85">
        <v>87.979319089942962</v>
      </c>
      <c r="O85">
        <f t="shared" si="11"/>
        <v>0</v>
      </c>
      <c r="P85">
        <f t="shared" si="12"/>
        <v>1</v>
      </c>
      <c r="Q85">
        <f t="shared" si="13"/>
        <v>-1.5229999999999999</v>
      </c>
      <c r="R85">
        <v>0</v>
      </c>
      <c r="S85">
        <f t="shared" si="15"/>
        <v>-0.71625412951004463</v>
      </c>
      <c r="T85">
        <v>-0.14032453334682962</v>
      </c>
      <c r="U85">
        <f t="shared" si="16"/>
        <v>0.57592959616321504</v>
      </c>
    </row>
    <row r="86" spans="1:21">
      <c r="A86">
        <f t="shared" si="17"/>
        <v>85</v>
      </c>
      <c r="B86" s="2">
        <f t="shared" si="18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36">
        <v>4.7</v>
      </c>
      <c r="H86" s="5">
        <v>5</v>
      </c>
      <c r="I86" s="41" t="s">
        <v>10</v>
      </c>
      <c r="J86" s="45" t="s">
        <v>14</v>
      </c>
      <c r="K86">
        <v>290</v>
      </c>
      <c r="L86">
        <f t="shared" si="14"/>
        <v>3</v>
      </c>
      <c r="M86">
        <v>196.8111840223722</v>
      </c>
      <c r="N86">
        <v>196.87468642841836</v>
      </c>
      <c r="O86">
        <f t="shared" si="11"/>
        <v>0</v>
      </c>
      <c r="P86">
        <f t="shared" si="12"/>
        <v>1</v>
      </c>
      <c r="Q86">
        <f t="shared" si="13"/>
        <v>-1.5229999999999999</v>
      </c>
      <c r="R86">
        <v>1</v>
      </c>
      <c r="S86">
        <f t="shared" si="15"/>
        <v>-1.8633043927150306</v>
      </c>
      <c r="T86">
        <v>-1.6866677042042058</v>
      </c>
      <c r="U86">
        <f t="shared" si="16"/>
        <v>0.17663668851082481</v>
      </c>
    </row>
    <row r="87" spans="1:21">
      <c r="A87">
        <f t="shared" si="17"/>
        <v>86</v>
      </c>
      <c r="B87" s="2">
        <f t="shared" si="18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36">
        <v>4.7</v>
      </c>
      <c r="H87" s="5">
        <v>5</v>
      </c>
      <c r="I87" s="41" t="s">
        <v>10</v>
      </c>
      <c r="J87" s="45" t="s">
        <v>15</v>
      </c>
      <c r="K87">
        <v>210</v>
      </c>
      <c r="L87">
        <f t="shared" si="14"/>
        <v>3</v>
      </c>
      <c r="M87">
        <v>71.928133474305866</v>
      </c>
      <c r="N87">
        <v>72.101708614273207</v>
      </c>
      <c r="O87">
        <f t="shared" si="11"/>
        <v>0</v>
      </c>
      <c r="P87">
        <f t="shared" si="12"/>
        <v>1</v>
      </c>
      <c r="Q87">
        <f t="shared" si="13"/>
        <v>-1.5229999999999999</v>
      </c>
      <c r="R87">
        <v>1</v>
      </c>
      <c r="S87">
        <f t="shared" si="15"/>
        <v>-0.76428923624804845</v>
      </c>
      <c r="T87">
        <v>-0.8968313584125539</v>
      </c>
      <c r="U87">
        <f t="shared" si="16"/>
        <v>-0.13254212216450545</v>
      </c>
    </row>
    <row r="88" spans="1:21">
      <c r="A88">
        <f t="shared" si="17"/>
        <v>87</v>
      </c>
      <c r="B88" s="2">
        <f t="shared" si="18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36">
        <v>4.7</v>
      </c>
      <c r="H88" s="5">
        <v>5</v>
      </c>
      <c r="I88" s="41" t="s">
        <v>10</v>
      </c>
      <c r="J88" s="45" t="s">
        <v>19</v>
      </c>
      <c r="K88">
        <v>283</v>
      </c>
      <c r="L88">
        <f t="shared" si="14"/>
        <v>3</v>
      </c>
      <c r="M88">
        <v>100.73119085035158</v>
      </c>
      <c r="N88">
        <v>100.85520715426622</v>
      </c>
      <c r="O88">
        <f t="shared" si="11"/>
        <v>0</v>
      </c>
      <c r="P88">
        <f t="shared" si="12"/>
        <v>1</v>
      </c>
      <c r="Q88">
        <f t="shared" si="13"/>
        <v>-1.5229999999999999</v>
      </c>
      <c r="R88">
        <v>1</v>
      </c>
      <c r="S88">
        <f t="shared" si="15"/>
        <v>-1.1368658516829422</v>
      </c>
      <c r="T88">
        <v>-0.96282874364455828</v>
      </c>
      <c r="U88">
        <f t="shared" si="16"/>
        <v>0.1740371080383839</v>
      </c>
    </row>
    <row r="89" spans="1:21">
      <c r="A89">
        <f t="shared" si="17"/>
        <v>88</v>
      </c>
      <c r="B89" s="2">
        <f t="shared" si="18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36">
        <v>4.9000000000000004</v>
      </c>
      <c r="H89" s="5">
        <v>10</v>
      </c>
      <c r="I89" s="41" t="s">
        <v>10</v>
      </c>
      <c r="J89" s="45" t="s">
        <v>14</v>
      </c>
      <c r="K89">
        <v>290</v>
      </c>
      <c r="L89">
        <f t="shared" si="14"/>
        <v>3</v>
      </c>
      <c r="M89">
        <v>193.95907906707598</v>
      </c>
      <c r="N89">
        <v>194.21669431989679</v>
      </c>
      <c r="O89">
        <f t="shared" si="11"/>
        <v>0</v>
      </c>
      <c r="P89">
        <f t="shared" si="12"/>
        <v>1</v>
      </c>
      <c r="Q89">
        <f t="shared" si="13"/>
        <v>-1.5229999999999999</v>
      </c>
      <c r="R89">
        <v>0</v>
      </c>
      <c r="S89">
        <f t="shared" si="15"/>
        <v>-1.5881740194930982</v>
      </c>
      <c r="T89">
        <v>-1.4783547350813591</v>
      </c>
      <c r="U89">
        <f t="shared" si="16"/>
        <v>0.10981928441173916</v>
      </c>
    </row>
    <row r="90" spans="1:21">
      <c r="A90">
        <f t="shared" si="17"/>
        <v>89</v>
      </c>
      <c r="B90" s="2">
        <f t="shared" si="18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36">
        <v>4.9000000000000004</v>
      </c>
      <c r="H90" s="5">
        <v>10</v>
      </c>
      <c r="I90" s="41" t="s">
        <v>10</v>
      </c>
      <c r="J90" s="45" t="s">
        <v>15</v>
      </c>
      <c r="K90">
        <v>210</v>
      </c>
      <c r="L90">
        <f t="shared" si="14"/>
        <v>3</v>
      </c>
      <c r="M90">
        <v>71.45004970385618</v>
      </c>
      <c r="N90">
        <v>72.146445530486943</v>
      </c>
      <c r="O90">
        <f t="shared" si="11"/>
        <v>0</v>
      </c>
      <c r="P90">
        <f t="shared" si="12"/>
        <v>1</v>
      </c>
      <c r="Q90">
        <f t="shared" si="13"/>
        <v>-1.5229999999999999</v>
      </c>
      <c r="R90">
        <v>1</v>
      </c>
      <c r="S90">
        <f t="shared" si="15"/>
        <v>-0.49078620609713131</v>
      </c>
      <c r="T90">
        <v>-0.84727052711170092</v>
      </c>
      <c r="U90">
        <f t="shared" si="16"/>
        <v>-0.35648432101456962</v>
      </c>
    </row>
    <row r="91" spans="1:21">
      <c r="A91">
        <f t="shared" si="17"/>
        <v>90</v>
      </c>
      <c r="B91" s="2">
        <f t="shared" si="18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36">
        <v>4.9000000000000004</v>
      </c>
      <c r="H91" s="5">
        <v>10</v>
      </c>
      <c r="I91" s="41" t="s">
        <v>10</v>
      </c>
      <c r="J91" s="45" t="s">
        <v>19</v>
      </c>
      <c r="K91">
        <v>283</v>
      </c>
      <c r="L91">
        <f t="shared" si="14"/>
        <v>3</v>
      </c>
      <c r="M91">
        <v>97.398208788098572</v>
      </c>
      <c r="N91">
        <v>97.910219462168712</v>
      </c>
      <c r="O91">
        <f t="shared" si="11"/>
        <v>0</v>
      </c>
      <c r="P91">
        <f t="shared" si="12"/>
        <v>1</v>
      </c>
      <c r="Q91">
        <f t="shared" si="13"/>
        <v>-1.5229999999999999</v>
      </c>
      <c r="R91">
        <v>0</v>
      </c>
      <c r="S91">
        <f t="shared" si="15"/>
        <v>-0.83611034937631512</v>
      </c>
      <c r="T91">
        <v>-9.7822616887445493E-2</v>
      </c>
      <c r="U91">
        <f t="shared" si="16"/>
        <v>0.73828773248886959</v>
      </c>
    </row>
    <row r="92" spans="1:21">
      <c r="A92">
        <f t="shared" si="17"/>
        <v>91</v>
      </c>
      <c r="B92" s="2">
        <f t="shared" si="18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36">
        <v>4.5</v>
      </c>
      <c r="H92" s="5">
        <v>10</v>
      </c>
      <c r="I92" s="41" t="s">
        <v>10</v>
      </c>
      <c r="J92" s="45" t="s">
        <v>14</v>
      </c>
      <c r="K92">
        <v>290</v>
      </c>
      <c r="L92">
        <f t="shared" si="14"/>
        <v>3</v>
      </c>
      <c r="M92">
        <v>210.08629900607102</v>
      </c>
      <c r="N92">
        <v>210.32416178382425</v>
      </c>
      <c r="O92">
        <f t="shared" si="11"/>
        <v>0</v>
      </c>
      <c r="P92">
        <f t="shared" si="12"/>
        <v>1</v>
      </c>
      <c r="Q92">
        <f t="shared" si="13"/>
        <v>-1.5229999999999999</v>
      </c>
      <c r="R92">
        <v>1</v>
      </c>
      <c r="S92">
        <f t="shared" si="15"/>
        <v>-2.1935169168625519</v>
      </c>
      <c r="T92">
        <v>-1.3854090098758429</v>
      </c>
      <c r="U92">
        <f t="shared" si="16"/>
        <v>0.80810790698670898</v>
      </c>
    </row>
    <row r="93" spans="1:21">
      <c r="A93">
        <f t="shared" si="17"/>
        <v>92</v>
      </c>
      <c r="B93" s="2">
        <f t="shared" si="18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36">
        <v>4.5</v>
      </c>
      <c r="H93" s="5">
        <v>10</v>
      </c>
      <c r="I93" s="41" t="s">
        <v>10</v>
      </c>
      <c r="J93" s="45" t="s">
        <v>19</v>
      </c>
      <c r="K93">
        <v>283</v>
      </c>
      <c r="L93">
        <f t="shared" si="14"/>
        <v>3</v>
      </c>
      <c r="M93">
        <v>113.49793514390502</v>
      </c>
      <c r="N93">
        <v>113.9376201345722</v>
      </c>
      <c r="O93">
        <f t="shared" si="11"/>
        <v>0</v>
      </c>
      <c r="P93">
        <f t="shared" si="12"/>
        <v>1</v>
      </c>
      <c r="Q93">
        <f t="shared" si="13"/>
        <v>-1.5229999999999999</v>
      </c>
      <c r="R93">
        <v>1</v>
      </c>
      <c r="S93">
        <f t="shared" si="15"/>
        <v>-1.5341283570176207</v>
      </c>
      <c r="T93">
        <v>-0.76025784120955509</v>
      </c>
      <c r="U93">
        <f t="shared" si="16"/>
        <v>0.77387051580806565</v>
      </c>
    </row>
    <row r="94" spans="1:21">
      <c r="A94">
        <f t="shared" si="17"/>
        <v>93</v>
      </c>
      <c r="B94" s="2">
        <f t="shared" si="18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36">
        <v>3.8</v>
      </c>
      <c r="H94" s="5">
        <v>10</v>
      </c>
      <c r="I94" s="41" t="s">
        <v>10</v>
      </c>
      <c r="J94" s="45" t="s">
        <v>15</v>
      </c>
      <c r="K94">
        <v>210</v>
      </c>
      <c r="L94">
        <f t="shared" si="14"/>
        <v>3</v>
      </c>
      <c r="M94">
        <v>28.931001680991574</v>
      </c>
      <c r="N94">
        <v>30.610502417724824</v>
      </c>
      <c r="O94">
        <f t="shared" si="11"/>
        <v>0</v>
      </c>
      <c r="P94">
        <f t="shared" si="12"/>
        <v>1</v>
      </c>
      <c r="Q94">
        <f t="shared" si="13"/>
        <v>-1.5229999999999999</v>
      </c>
      <c r="R94">
        <v>1</v>
      </c>
      <c r="S94">
        <f t="shared" si="15"/>
        <v>-1.0297833028554804</v>
      </c>
      <c r="T94">
        <v>-0.2734593639846204</v>
      </c>
      <c r="U94">
        <f t="shared" si="16"/>
        <v>0.75632393887086002</v>
      </c>
    </row>
    <row r="95" spans="1:21">
      <c r="A95">
        <f t="shared" si="17"/>
        <v>94</v>
      </c>
      <c r="B95" s="2">
        <f t="shared" si="18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36">
        <v>4.2</v>
      </c>
      <c r="H95" s="5">
        <v>12</v>
      </c>
      <c r="I95" s="41" t="s">
        <v>10</v>
      </c>
      <c r="J95" s="45" t="s">
        <v>14</v>
      </c>
      <c r="K95">
        <v>290</v>
      </c>
      <c r="L95">
        <f t="shared" si="14"/>
        <v>3</v>
      </c>
      <c r="M95">
        <v>219.07442776542351</v>
      </c>
      <c r="N95">
        <v>219.40283703896759</v>
      </c>
      <c r="O95">
        <f t="shared" si="11"/>
        <v>0</v>
      </c>
      <c r="P95">
        <f t="shared" si="12"/>
        <v>1</v>
      </c>
      <c r="Q95">
        <f t="shared" si="13"/>
        <v>-1.5229999999999999</v>
      </c>
      <c r="R95">
        <v>1</v>
      </c>
      <c r="S95">
        <f t="shared" si="15"/>
        <v>-2.6251686091247066</v>
      </c>
      <c r="T95">
        <v>-2.6746181355737035</v>
      </c>
      <c r="U95">
        <f t="shared" si="16"/>
        <v>-4.9449526448996917E-2</v>
      </c>
    </row>
    <row r="96" spans="1:21">
      <c r="A96">
        <f t="shared" si="17"/>
        <v>95</v>
      </c>
      <c r="B96" s="2">
        <f t="shared" si="18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36">
        <v>4.2</v>
      </c>
      <c r="H96" s="5">
        <v>12</v>
      </c>
      <c r="I96" s="41" t="s">
        <v>10</v>
      </c>
      <c r="J96" s="45" t="s">
        <v>15</v>
      </c>
      <c r="K96">
        <v>210</v>
      </c>
      <c r="L96">
        <f t="shared" si="14"/>
        <v>3</v>
      </c>
      <c r="M96">
        <v>54.022115727964547</v>
      </c>
      <c r="N96">
        <v>55.33885603918457</v>
      </c>
      <c r="O96">
        <f t="shared" si="11"/>
        <v>0</v>
      </c>
      <c r="P96">
        <f t="shared" si="12"/>
        <v>1</v>
      </c>
      <c r="Q96">
        <f t="shared" si="13"/>
        <v>-1.5229999999999999</v>
      </c>
      <c r="R96">
        <v>1</v>
      </c>
      <c r="S96">
        <f t="shared" si="15"/>
        <v>-1.1460284246220089</v>
      </c>
      <c r="T96">
        <v>-1.4860251838409095</v>
      </c>
      <c r="U96">
        <f t="shared" si="16"/>
        <v>-0.3399967592189006</v>
      </c>
    </row>
    <row r="97" spans="1:21">
      <c r="A97">
        <f t="shared" si="17"/>
        <v>96</v>
      </c>
      <c r="B97" s="2">
        <f t="shared" si="18"/>
        <v>49</v>
      </c>
      <c r="C97" s="25">
        <v>43357</v>
      </c>
      <c r="D97" s="26">
        <v>0.16467592593107838</v>
      </c>
      <c r="E97" s="27">
        <v>-8.16</v>
      </c>
      <c r="F97" s="27">
        <v>116.37</v>
      </c>
      <c r="G97" s="36">
        <v>4.2</v>
      </c>
      <c r="H97" s="27">
        <v>12</v>
      </c>
      <c r="I97" s="2" t="s">
        <v>10</v>
      </c>
      <c r="J97" s="45" t="s">
        <v>16</v>
      </c>
      <c r="K97">
        <v>770</v>
      </c>
      <c r="L97">
        <f t="shared" si="14"/>
        <v>1</v>
      </c>
      <c r="M97">
        <v>68.094097247178624</v>
      </c>
      <c r="N97">
        <v>69.143373362226257</v>
      </c>
      <c r="O97">
        <f t="shared" si="11"/>
        <v>0</v>
      </c>
      <c r="P97">
        <f t="shared" si="12"/>
        <v>1</v>
      </c>
      <c r="Q97">
        <f t="shared" si="13"/>
        <v>-2.1520000000000001</v>
      </c>
      <c r="R97">
        <v>1</v>
      </c>
      <c r="S97">
        <f t="shared" si="15"/>
        <v>-2.0186190508120401</v>
      </c>
      <c r="T97">
        <v>-2.6120187066349581</v>
      </c>
      <c r="U97">
        <f t="shared" si="16"/>
        <v>-0.59339965582291798</v>
      </c>
    </row>
    <row r="98" spans="1:21">
      <c r="A98">
        <f t="shared" si="17"/>
        <v>97</v>
      </c>
      <c r="B98" s="2">
        <f t="shared" si="18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36">
        <v>4.2</v>
      </c>
      <c r="H98" s="5">
        <v>10</v>
      </c>
      <c r="I98" s="41" t="s">
        <v>10</v>
      </c>
      <c r="J98" s="45" t="s">
        <v>19</v>
      </c>
      <c r="K98">
        <v>283</v>
      </c>
      <c r="L98">
        <f t="shared" si="14"/>
        <v>3</v>
      </c>
      <c r="M98">
        <v>149.41083072966944</v>
      </c>
      <c r="N98">
        <v>149.74510455881332</v>
      </c>
      <c r="O98">
        <f t="shared" ref="O98:O129" si="19">IF(H98&lt;15,0,1)</f>
        <v>0</v>
      </c>
      <c r="P98">
        <f t="shared" ref="P98:P129" si="20">IF(I98="reverse",1,0)</f>
        <v>1</v>
      </c>
      <c r="Q98">
        <f t="shared" ref="Q98:Q129" si="21">IF(L98=1,$W$8,IF(L98=2,$W$9,$W$10))</f>
        <v>-1.5229999999999999</v>
      </c>
      <c r="R98">
        <v>1</v>
      </c>
      <c r="S98">
        <f t="shared" si="15"/>
        <v>-2.2177183149171871</v>
      </c>
      <c r="T98">
        <v>-2.4694292355181271</v>
      </c>
      <c r="U98">
        <f t="shared" si="16"/>
        <v>-0.25171092060094002</v>
      </c>
    </row>
    <row r="99" spans="1:21">
      <c r="A99">
        <f t="shared" si="17"/>
        <v>98</v>
      </c>
      <c r="B99" s="2">
        <f t="shared" si="18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36">
        <v>3.5</v>
      </c>
      <c r="H99" s="5">
        <v>16</v>
      </c>
      <c r="I99" s="41" t="s">
        <v>10</v>
      </c>
      <c r="J99" s="45" t="s">
        <v>15</v>
      </c>
      <c r="K99">
        <v>210</v>
      </c>
      <c r="L99">
        <f t="shared" si="14"/>
        <v>3</v>
      </c>
      <c r="M99">
        <v>27.234821366102938</v>
      </c>
      <c r="N99">
        <v>31.586951338227262</v>
      </c>
      <c r="O99">
        <f t="shared" si="19"/>
        <v>1</v>
      </c>
      <c r="P99">
        <f t="shared" si="20"/>
        <v>1</v>
      </c>
      <c r="Q99">
        <f t="shared" si="21"/>
        <v>-1.5229999999999999</v>
      </c>
      <c r="R99">
        <v>1</v>
      </c>
      <c r="S99">
        <f t="shared" si="15"/>
        <v>-1.4505533365054584</v>
      </c>
      <c r="T99">
        <v>-2.5548762762956292</v>
      </c>
      <c r="U99">
        <f t="shared" si="16"/>
        <v>-1.1043229397901708</v>
      </c>
    </row>
    <row r="100" spans="1:21">
      <c r="A100">
        <f t="shared" si="17"/>
        <v>99</v>
      </c>
      <c r="B100" s="2">
        <f t="shared" si="18"/>
        <v>51</v>
      </c>
      <c r="C100" s="25">
        <v>43364</v>
      </c>
      <c r="D100" s="26">
        <v>0.28790509259852115</v>
      </c>
      <c r="E100" s="27">
        <v>-8.32</v>
      </c>
      <c r="F100" s="27">
        <v>116.12</v>
      </c>
      <c r="G100" s="36">
        <v>3.5</v>
      </c>
      <c r="H100" s="27">
        <v>16</v>
      </c>
      <c r="I100" s="2" t="s">
        <v>10</v>
      </c>
      <c r="J100" s="45" t="s">
        <v>16</v>
      </c>
      <c r="K100">
        <v>770</v>
      </c>
      <c r="L100">
        <f t="shared" si="14"/>
        <v>1</v>
      </c>
      <c r="M100">
        <v>52.611970116012088</v>
      </c>
      <c r="N100">
        <v>54.991084727327838</v>
      </c>
      <c r="O100">
        <f t="shared" si="19"/>
        <v>1</v>
      </c>
      <c r="P100">
        <f t="shared" si="20"/>
        <v>1</v>
      </c>
      <c r="Q100">
        <f t="shared" si="21"/>
        <v>-2.1520000000000001</v>
      </c>
      <c r="R100">
        <v>1</v>
      </c>
      <c r="S100">
        <f t="shared" si="15"/>
        <v>-2.674749767359863</v>
      </c>
      <c r="T100">
        <v>-3.8071417224111936</v>
      </c>
      <c r="U100">
        <f t="shared" si="16"/>
        <v>-1.1323919550513306</v>
      </c>
    </row>
    <row r="101" spans="1:21">
      <c r="A101">
        <f t="shared" si="17"/>
        <v>100</v>
      </c>
      <c r="B101" s="2">
        <f t="shared" si="18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36">
        <v>4</v>
      </c>
      <c r="H101" s="5">
        <v>13</v>
      </c>
      <c r="I101" s="41" t="s">
        <v>10</v>
      </c>
      <c r="J101" s="45" t="s">
        <v>19</v>
      </c>
      <c r="K101">
        <v>283</v>
      </c>
      <c r="L101">
        <f t="shared" si="14"/>
        <v>3</v>
      </c>
      <c r="M101">
        <v>76.556929365864917</v>
      </c>
      <c r="N101">
        <v>77.652839187823844</v>
      </c>
      <c r="O101">
        <f t="shared" si="19"/>
        <v>0</v>
      </c>
      <c r="P101">
        <f t="shared" si="20"/>
        <v>1</v>
      </c>
      <c r="Q101">
        <f t="shared" si="21"/>
        <v>-1.5229999999999999</v>
      </c>
      <c r="R101">
        <v>0</v>
      </c>
      <c r="S101">
        <f t="shared" si="15"/>
        <v>-1.7784667244269805</v>
      </c>
      <c r="T101">
        <v>-2.7478293387857562</v>
      </c>
      <c r="U101">
        <f t="shared" si="16"/>
        <v>-0.96936261435877569</v>
      </c>
    </row>
    <row r="102" spans="1:21">
      <c r="A102">
        <f t="shared" si="17"/>
        <v>101</v>
      </c>
      <c r="B102" s="2">
        <f t="shared" si="18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36">
        <v>3.7</v>
      </c>
      <c r="H102" s="5">
        <v>11</v>
      </c>
      <c r="I102" s="41" t="s">
        <v>10</v>
      </c>
      <c r="J102" s="45" t="s">
        <v>13</v>
      </c>
      <c r="K102">
        <v>386</v>
      </c>
      <c r="L102">
        <f t="shared" si="14"/>
        <v>2</v>
      </c>
      <c r="M102">
        <v>202.99354263663312</v>
      </c>
      <c r="N102">
        <v>203.29136320112224</v>
      </c>
      <c r="O102">
        <f t="shared" si="19"/>
        <v>0</v>
      </c>
      <c r="P102">
        <f t="shared" si="20"/>
        <v>1</v>
      </c>
      <c r="Q102">
        <f t="shared" si="21"/>
        <v>-1.776</v>
      </c>
      <c r="R102">
        <v>0</v>
      </c>
      <c r="S102">
        <f t="shared" si="15"/>
        <v>-3.4376671454097298</v>
      </c>
      <c r="T102">
        <v>-4.0431191470996923</v>
      </c>
      <c r="U102">
        <f t="shared" si="16"/>
        <v>-0.60545200168996249</v>
      </c>
    </row>
    <row r="103" spans="1:21">
      <c r="A103">
        <f t="shared" si="17"/>
        <v>102</v>
      </c>
      <c r="B103" s="2">
        <f t="shared" si="18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36">
        <v>4.9000000000000004</v>
      </c>
      <c r="H103" s="5">
        <v>10</v>
      </c>
      <c r="I103" s="41" t="s">
        <v>10</v>
      </c>
      <c r="J103" s="45" t="s">
        <v>15</v>
      </c>
      <c r="K103">
        <v>210</v>
      </c>
      <c r="L103">
        <f t="shared" si="14"/>
        <v>3</v>
      </c>
      <c r="M103">
        <v>74.843048563414939</v>
      </c>
      <c r="N103">
        <v>75.508157958366894</v>
      </c>
      <c r="O103">
        <f t="shared" si="19"/>
        <v>0</v>
      </c>
      <c r="P103">
        <f t="shared" si="20"/>
        <v>1</v>
      </c>
      <c r="Q103">
        <f t="shared" si="21"/>
        <v>-1.5229999999999999</v>
      </c>
      <c r="R103">
        <v>1</v>
      </c>
      <c r="S103">
        <f t="shared" si="15"/>
        <v>-0.54295231620196827</v>
      </c>
      <c r="T103">
        <v>0.23973917957887014</v>
      </c>
      <c r="U103">
        <f t="shared" si="16"/>
        <v>0.78269149578083841</v>
      </c>
    </row>
    <row r="104" spans="1:21">
      <c r="A104">
        <f t="shared" si="17"/>
        <v>103</v>
      </c>
      <c r="B104" s="2">
        <f t="shared" si="18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36">
        <v>4.9000000000000004</v>
      </c>
      <c r="H104" s="5">
        <v>10</v>
      </c>
      <c r="I104" s="41" t="s">
        <v>10</v>
      </c>
      <c r="J104" s="45" t="s">
        <v>19</v>
      </c>
      <c r="K104">
        <v>283</v>
      </c>
      <c r="L104">
        <f t="shared" si="14"/>
        <v>3</v>
      </c>
      <c r="M104">
        <v>72.833909625461303</v>
      </c>
      <c r="N104">
        <v>73.517197928987102</v>
      </c>
      <c r="O104">
        <f t="shared" si="19"/>
        <v>0</v>
      </c>
      <c r="P104">
        <f t="shared" si="20"/>
        <v>1</v>
      </c>
      <c r="Q104">
        <f t="shared" si="21"/>
        <v>-1.5229999999999999</v>
      </c>
      <c r="R104">
        <v>0</v>
      </c>
      <c r="S104">
        <f t="shared" si="15"/>
        <v>-0.51237734283275582</v>
      </c>
      <c r="T104">
        <v>1.0329464505103085</v>
      </c>
      <c r="U104">
        <f t="shared" si="16"/>
        <v>1.5453237933430644</v>
      </c>
    </row>
    <row r="105" spans="1:21">
      <c r="A105">
        <f t="shared" si="17"/>
        <v>104</v>
      </c>
      <c r="B105" s="2">
        <f t="shared" si="18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36">
        <v>4.5</v>
      </c>
      <c r="H105" s="5">
        <v>10</v>
      </c>
      <c r="I105" s="41" t="s">
        <v>10</v>
      </c>
      <c r="J105" s="45" t="s">
        <v>14</v>
      </c>
      <c r="K105">
        <v>290</v>
      </c>
      <c r="L105">
        <f t="shared" si="14"/>
        <v>3</v>
      </c>
      <c r="M105">
        <v>169.5752754141601</v>
      </c>
      <c r="N105">
        <v>169.86987382048724</v>
      </c>
      <c r="O105">
        <f t="shared" si="19"/>
        <v>0</v>
      </c>
      <c r="P105">
        <f t="shared" si="20"/>
        <v>1</v>
      </c>
      <c r="Q105">
        <f t="shared" si="21"/>
        <v>-1.5229999999999999</v>
      </c>
      <c r="R105">
        <v>0</v>
      </c>
      <c r="S105">
        <f t="shared" si="15"/>
        <v>-1.9639322313099274</v>
      </c>
      <c r="T105">
        <v>-1.2980566283234956</v>
      </c>
      <c r="U105">
        <f t="shared" si="16"/>
        <v>0.66587560298643189</v>
      </c>
    </row>
    <row r="106" spans="1:21">
      <c r="A106">
        <f t="shared" si="17"/>
        <v>105</v>
      </c>
      <c r="B106" s="2">
        <f t="shared" si="18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36">
        <v>4.3</v>
      </c>
      <c r="H106" s="5">
        <v>10</v>
      </c>
      <c r="I106" s="41" t="s">
        <v>10</v>
      </c>
      <c r="J106" s="45" t="s">
        <v>14</v>
      </c>
      <c r="K106">
        <v>290</v>
      </c>
      <c r="L106">
        <f t="shared" si="14"/>
        <v>3</v>
      </c>
      <c r="M106">
        <v>191.39436649976986</v>
      </c>
      <c r="N106">
        <v>191.65542916350748</v>
      </c>
      <c r="O106">
        <f t="shared" si="19"/>
        <v>0</v>
      </c>
      <c r="P106">
        <f t="shared" si="20"/>
        <v>1</v>
      </c>
      <c r="Q106">
        <f t="shared" si="21"/>
        <v>-1.5229999999999999</v>
      </c>
      <c r="R106">
        <v>0</v>
      </c>
      <c r="S106">
        <f t="shared" si="15"/>
        <v>-2.3518642474015454</v>
      </c>
      <c r="T106">
        <v>-2.2460064925638212</v>
      </c>
      <c r="U106">
        <f t="shared" si="16"/>
        <v>0.10585775483772419</v>
      </c>
    </row>
    <row r="107" spans="1:21">
      <c r="A107">
        <f t="shared" si="17"/>
        <v>106</v>
      </c>
      <c r="B107" s="2">
        <f t="shared" si="18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36">
        <v>4.3</v>
      </c>
      <c r="H107" s="5">
        <v>10</v>
      </c>
      <c r="I107" s="41" t="s">
        <v>10</v>
      </c>
      <c r="J107" s="45" t="s">
        <v>15</v>
      </c>
      <c r="K107">
        <v>210</v>
      </c>
      <c r="L107">
        <f t="shared" si="14"/>
        <v>3</v>
      </c>
      <c r="M107">
        <v>62.335277789976317</v>
      </c>
      <c r="N107">
        <v>63.132296466654168</v>
      </c>
      <c r="O107">
        <f t="shared" si="19"/>
        <v>0</v>
      </c>
      <c r="P107">
        <f t="shared" si="20"/>
        <v>1</v>
      </c>
      <c r="Q107">
        <f t="shared" si="21"/>
        <v>-1.5229999999999999</v>
      </c>
      <c r="R107">
        <v>1</v>
      </c>
      <c r="S107">
        <f t="shared" si="15"/>
        <v>-1.1568221165699528</v>
      </c>
      <c r="T107">
        <v>-0.86408970668611573</v>
      </c>
      <c r="U107">
        <f t="shared" si="16"/>
        <v>0.29273240988383709</v>
      </c>
    </row>
    <row r="108" spans="1:21">
      <c r="A108">
        <f t="shared" si="17"/>
        <v>107</v>
      </c>
      <c r="B108" s="2">
        <f t="shared" si="18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36">
        <v>4.7</v>
      </c>
      <c r="H108" s="5">
        <v>10</v>
      </c>
      <c r="I108" s="41" t="s">
        <v>10</v>
      </c>
      <c r="J108" s="45" t="s">
        <v>14</v>
      </c>
      <c r="K108">
        <v>290</v>
      </c>
      <c r="L108">
        <f t="shared" si="14"/>
        <v>3</v>
      </c>
      <c r="M108">
        <v>153.54034510521262</v>
      </c>
      <c r="N108">
        <v>153.8656478068701</v>
      </c>
      <c r="O108">
        <f t="shared" si="19"/>
        <v>0</v>
      </c>
      <c r="P108">
        <f t="shared" si="20"/>
        <v>1</v>
      </c>
      <c r="Q108">
        <f t="shared" si="21"/>
        <v>-1.5229999999999999</v>
      </c>
      <c r="R108">
        <v>0</v>
      </c>
      <c r="S108">
        <f t="shared" si="15"/>
        <v>-1.5967483011644648</v>
      </c>
      <c r="T108">
        <v>-1.2412762180407346</v>
      </c>
      <c r="U108">
        <f t="shared" si="16"/>
        <v>0.35547208312373013</v>
      </c>
    </row>
    <row r="109" spans="1:21">
      <c r="A109">
        <f t="shared" si="17"/>
        <v>108</v>
      </c>
      <c r="B109" s="2">
        <f t="shared" si="18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36">
        <v>3.8</v>
      </c>
      <c r="H109" s="5">
        <v>20</v>
      </c>
      <c r="I109" s="41" t="s">
        <v>10</v>
      </c>
      <c r="J109" s="45" t="s">
        <v>19</v>
      </c>
      <c r="K109">
        <v>283</v>
      </c>
      <c r="L109">
        <f t="shared" si="14"/>
        <v>3</v>
      </c>
      <c r="M109">
        <v>73.704865393879203</v>
      </c>
      <c r="N109">
        <v>76.370198262999509</v>
      </c>
      <c r="O109">
        <f t="shared" si="19"/>
        <v>1</v>
      </c>
      <c r="P109">
        <f t="shared" si="20"/>
        <v>1</v>
      </c>
      <c r="Q109">
        <f t="shared" si="21"/>
        <v>-1.5229999999999999</v>
      </c>
      <c r="R109">
        <v>0</v>
      </c>
      <c r="S109">
        <f t="shared" si="15"/>
        <v>-1.9217711314253327</v>
      </c>
      <c r="T109">
        <v>-3.170425021076726</v>
      </c>
      <c r="U109">
        <f t="shared" si="16"/>
        <v>-1.2486538896513932</v>
      </c>
    </row>
    <row r="110" spans="1:21">
      <c r="A110">
        <f t="shared" si="17"/>
        <v>109</v>
      </c>
      <c r="B110" s="2">
        <f t="shared" si="18"/>
        <v>59</v>
      </c>
      <c r="C110" s="18">
        <v>43419</v>
      </c>
      <c r="D110" s="19">
        <v>0.82395833333333324</v>
      </c>
      <c r="E110" s="20">
        <v>-8.2100000000000009</v>
      </c>
      <c r="F110" s="20">
        <v>116.33</v>
      </c>
      <c r="G110" s="36">
        <v>3.7</v>
      </c>
      <c r="H110" s="20">
        <v>5</v>
      </c>
      <c r="I110" s="2" t="s">
        <v>10</v>
      </c>
      <c r="J110" s="45" t="s">
        <v>16</v>
      </c>
      <c r="K110">
        <v>770</v>
      </c>
      <c r="L110">
        <f t="shared" si="14"/>
        <v>1</v>
      </c>
      <c r="M110">
        <v>62.043000961657171</v>
      </c>
      <c r="N110">
        <v>62.244148064924083</v>
      </c>
      <c r="O110">
        <f t="shared" si="19"/>
        <v>0</v>
      </c>
      <c r="P110">
        <f t="shared" si="20"/>
        <v>1</v>
      </c>
      <c r="Q110">
        <f t="shared" si="21"/>
        <v>-2.1520000000000001</v>
      </c>
      <c r="R110">
        <v>1</v>
      </c>
      <c r="S110">
        <f t="shared" si="15"/>
        <v>-2.5647115105743534</v>
      </c>
      <c r="T110">
        <v>-3.859497199455709</v>
      </c>
      <c r="U110">
        <f t="shared" si="16"/>
        <v>-1.2947856888813556</v>
      </c>
    </row>
    <row r="111" spans="1:21">
      <c r="A111">
        <f t="shared" si="17"/>
        <v>110</v>
      </c>
      <c r="B111" s="2">
        <f t="shared" si="18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36">
        <v>3.7</v>
      </c>
      <c r="H111" s="5">
        <v>11</v>
      </c>
      <c r="I111" s="41" t="s">
        <v>10</v>
      </c>
      <c r="J111" s="45" t="s">
        <v>15</v>
      </c>
      <c r="K111">
        <v>210</v>
      </c>
      <c r="L111">
        <f t="shared" si="14"/>
        <v>3</v>
      </c>
      <c r="M111">
        <v>23.835078470597363</v>
      </c>
      <c r="N111">
        <v>26.25092313994946</v>
      </c>
      <c r="O111">
        <f t="shared" si="19"/>
        <v>0</v>
      </c>
      <c r="P111">
        <f t="shared" si="20"/>
        <v>1</v>
      </c>
      <c r="Q111">
        <f t="shared" si="21"/>
        <v>-1.5229999999999999</v>
      </c>
      <c r="R111">
        <v>1</v>
      </c>
      <c r="S111">
        <f t="shared" si="15"/>
        <v>-0.99369219479764714</v>
      </c>
      <c r="T111">
        <v>-1.0315126464587385</v>
      </c>
      <c r="U111">
        <f t="shared" si="16"/>
        <v>-3.7820451661091381E-2</v>
      </c>
    </row>
    <row r="112" spans="1:21">
      <c r="A112">
        <f t="shared" si="17"/>
        <v>111</v>
      </c>
      <c r="B112" s="2">
        <f t="shared" si="18"/>
        <v>60</v>
      </c>
      <c r="C112" s="18">
        <v>43421</v>
      </c>
      <c r="D112" s="19">
        <v>0.52866898148148145</v>
      </c>
      <c r="E112" s="20">
        <v>-8.35</v>
      </c>
      <c r="F112" s="20">
        <v>116.09</v>
      </c>
      <c r="G112" s="36">
        <v>3.7</v>
      </c>
      <c r="H112" s="20">
        <v>11</v>
      </c>
      <c r="I112" s="2" t="s">
        <v>10</v>
      </c>
      <c r="J112" s="45" t="s">
        <v>16</v>
      </c>
      <c r="K112">
        <v>770</v>
      </c>
      <c r="L112">
        <f t="shared" si="14"/>
        <v>1</v>
      </c>
      <c r="M112">
        <v>50.769469002227638</v>
      </c>
      <c r="N112">
        <v>51.94746367983862</v>
      </c>
      <c r="O112">
        <f t="shared" si="19"/>
        <v>0</v>
      </c>
      <c r="P112">
        <f t="shared" si="20"/>
        <v>1</v>
      </c>
      <c r="Q112">
        <f t="shared" si="21"/>
        <v>-2.1520000000000001</v>
      </c>
      <c r="R112">
        <v>1</v>
      </c>
      <c r="S112">
        <f t="shared" si="15"/>
        <v>-2.3716765864643046</v>
      </c>
      <c r="T112">
        <v>-3.0294563768292813</v>
      </c>
      <c r="U112">
        <f t="shared" si="16"/>
        <v>-0.65777979036497669</v>
      </c>
    </row>
    <row r="113" spans="1:21">
      <c r="A113">
        <f t="shared" si="17"/>
        <v>112</v>
      </c>
      <c r="B113" s="2">
        <f t="shared" si="18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36">
        <v>5.0999999999999996</v>
      </c>
      <c r="H113" s="5">
        <v>10</v>
      </c>
      <c r="I113" s="41" t="s">
        <v>10</v>
      </c>
      <c r="J113" s="45" t="s">
        <v>19</v>
      </c>
      <c r="K113">
        <v>283</v>
      </c>
      <c r="L113">
        <f t="shared" si="14"/>
        <v>3</v>
      </c>
      <c r="M113">
        <v>76.326023434540531</v>
      </c>
      <c r="N113">
        <v>76.978320671017698</v>
      </c>
      <c r="O113">
        <f t="shared" si="19"/>
        <v>0</v>
      </c>
      <c r="P113">
        <f t="shared" si="20"/>
        <v>1</v>
      </c>
      <c r="Q113">
        <f t="shared" si="21"/>
        <v>-1.5229999999999999</v>
      </c>
      <c r="R113">
        <v>0</v>
      </c>
      <c r="S113">
        <f t="shared" si="15"/>
        <v>-0.28797484585830535</v>
      </c>
      <c r="T113">
        <v>1.2611425486403438</v>
      </c>
      <c r="U113">
        <f t="shared" si="16"/>
        <v>1.5491173944986492</v>
      </c>
    </row>
    <row r="114" spans="1:21">
      <c r="A114">
        <f t="shared" si="17"/>
        <v>113</v>
      </c>
      <c r="B114" s="2">
        <f t="shared" si="18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36">
        <v>5.0999999999999996</v>
      </c>
      <c r="H114" s="5">
        <v>10</v>
      </c>
      <c r="I114" s="41" t="s">
        <v>10</v>
      </c>
      <c r="J114" s="45" t="s">
        <v>17</v>
      </c>
      <c r="K114">
        <v>1141</v>
      </c>
      <c r="L114">
        <f t="shared" si="14"/>
        <v>1</v>
      </c>
      <c r="M114">
        <v>45.913425587818345</v>
      </c>
      <c r="N114">
        <v>46.989814313403414</v>
      </c>
      <c r="O114">
        <f t="shared" si="19"/>
        <v>0</v>
      </c>
      <c r="P114">
        <f t="shared" si="20"/>
        <v>1</v>
      </c>
      <c r="Q114">
        <f t="shared" si="21"/>
        <v>-2.1520000000000001</v>
      </c>
      <c r="R114">
        <v>0</v>
      </c>
      <c r="S114">
        <f t="shared" si="15"/>
        <v>-0.31602921857900701</v>
      </c>
      <c r="T114">
        <v>0.31101897983969007</v>
      </c>
      <c r="U114">
        <f t="shared" si="16"/>
        <v>0.62704819841869708</v>
      </c>
    </row>
    <row r="115" spans="1:21">
      <c r="A115" s="8">
        <f t="shared" si="17"/>
        <v>114</v>
      </c>
      <c r="B115" s="9">
        <f t="shared" si="18"/>
        <v>62</v>
      </c>
      <c r="C115" s="10">
        <v>43508</v>
      </c>
      <c r="D115" s="11">
        <v>0.71231481481481485</v>
      </c>
      <c r="E115" s="12">
        <v>-8.39</v>
      </c>
      <c r="F115" s="12">
        <v>116.84</v>
      </c>
      <c r="G115" s="37">
        <v>4.5</v>
      </c>
      <c r="H115" s="12">
        <v>10</v>
      </c>
      <c r="I115" s="42" t="s">
        <v>10</v>
      </c>
      <c r="J115" s="46" t="s">
        <v>17</v>
      </c>
      <c r="K115">
        <v>1141</v>
      </c>
      <c r="L115">
        <f t="shared" si="14"/>
        <v>1</v>
      </c>
      <c r="M115">
        <v>38.954393040170586</v>
      </c>
      <c r="N115">
        <v>40.217468059639089</v>
      </c>
      <c r="O115">
        <f t="shared" si="19"/>
        <v>0</v>
      </c>
      <c r="P115">
        <f t="shared" si="20"/>
        <v>1</v>
      </c>
      <c r="Q115">
        <f t="shared" si="21"/>
        <v>-2.1520000000000001</v>
      </c>
      <c r="R115">
        <v>0</v>
      </c>
      <c r="S115">
        <f t="shared" si="15"/>
        <v>-0.99906167456311068</v>
      </c>
      <c r="T115">
        <v>-0.88718368907849154</v>
      </c>
      <c r="U115">
        <f t="shared" si="16"/>
        <v>0.11187798548461914</v>
      </c>
    </row>
    <row r="116" spans="1:21">
      <c r="A116" s="8">
        <f t="shared" si="17"/>
        <v>115</v>
      </c>
      <c r="B116" s="9">
        <f t="shared" si="18"/>
        <v>63</v>
      </c>
      <c r="C116" s="28">
        <v>43541</v>
      </c>
      <c r="D116" s="11">
        <v>0.58848379629629632</v>
      </c>
      <c r="E116" s="12">
        <v>-8.4700000000000006</v>
      </c>
      <c r="F116" s="12">
        <v>116.55</v>
      </c>
      <c r="G116" s="37">
        <v>5.5</v>
      </c>
      <c r="H116" s="12">
        <v>19</v>
      </c>
      <c r="I116" s="9" t="s">
        <v>11</v>
      </c>
      <c r="J116" s="46" t="s">
        <v>16</v>
      </c>
      <c r="K116">
        <v>770</v>
      </c>
      <c r="L116">
        <f t="shared" si="14"/>
        <v>1</v>
      </c>
      <c r="M116">
        <v>44.602245905875868</v>
      </c>
      <c r="N116">
        <v>48.480515053454425</v>
      </c>
      <c r="O116">
        <f t="shared" si="19"/>
        <v>1</v>
      </c>
      <c r="P116">
        <f t="shared" si="20"/>
        <v>0</v>
      </c>
      <c r="Q116">
        <f t="shared" si="21"/>
        <v>-2.1520000000000001</v>
      </c>
      <c r="R116">
        <v>1</v>
      </c>
      <c r="S116">
        <f t="shared" si="15"/>
        <v>1.346872157223312</v>
      </c>
      <c r="T116">
        <v>0.42477401885402294</v>
      </c>
      <c r="U116">
        <f t="shared" si="16"/>
        <v>-0.922098138369289</v>
      </c>
    </row>
    <row r="117" spans="1:21">
      <c r="A117" s="8">
        <f t="shared" si="17"/>
        <v>116</v>
      </c>
      <c r="B117" s="9">
        <f t="shared" si="18"/>
        <v>63</v>
      </c>
      <c r="C117" s="10">
        <v>43541</v>
      </c>
      <c r="D117" s="11">
        <v>0.58848379629629632</v>
      </c>
      <c r="E117" s="12">
        <v>-8.4700000000000006</v>
      </c>
      <c r="F117" s="12">
        <v>116.55</v>
      </c>
      <c r="G117" s="37">
        <v>5.5</v>
      </c>
      <c r="H117" s="12">
        <v>19</v>
      </c>
      <c r="I117" s="9" t="s">
        <v>11</v>
      </c>
      <c r="J117" s="46" t="s">
        <v>17</v>
      </c>
      <c r="K117">
        <v>1141</v>
      </c>
      <c r="L117">
        <f t="shared" si="14"/>
        <v>1</v>
      </c>
      <c r="M117">
        <v>47.410108769841003</v>
      </c>
      <c r="N117">
        <v>51.075614666572093</v>
      </c>
      <c r="O117">
        <f t="shared" si="19"/>
        <v>1</v>
      </c>
      <c r="P117">
        <f t="shared" si="20"/>
        <v>0</v>
      </c>
      <c r="Q117">
        <f t="shared" si="21"/>
        <v>-2.1520000000000001</v>
      </c>
      <c r="R117">
        <v>1</v>
      </c>
      <c r="S117">
        <f t="shared" si="15"/>
        <v>1.2732071787232879</v>
      </c>
      <c r="T117">
        <v>0.79222355157208169</v>
      </c>
      <c r="U117">
        <f t="shared" si="16"/>
        <v>-0.48098362715120624</v>
      </c>
    </row>
    <row r="118" spans="1:21">
      <c r="A118" s="8">
        <f t="shared" si="17"/>
        <v>117</v>
      </c>
      <c r="B118" s="9">
        <f t="shared" si="18"/>
        <v>64</v>
      </c>
      <c r="C118" s="28">
        <v>43541</v>
      </c>
      <c r="D118" s="11">
        <v>0.58981481481481479</v>
      </c>
      <c r="E118" s="12">
        <v>-8.51</v>
      </c>
      <c r="F118" s="12">
        <v>116.49</v>
      </c>
      <c r="G118" s="37">
        <v>5.0999999999999996</v>
      </c>
      <c r="H118" s="12">
        <v>11</v>
      </c>
      <c r="I118" s="9" t="s">
        <v>11</v>
      </c>
      <c r="J118" s="46" t="s">
        <v>16</v>
      </c>
      <c r="K118">
        <v>770</v>
      </c>
      <c r="L118">
        <f t="shared" si="14"/>
        <v>1</v>
      </c>
      <c r="M118">
        <v>36.872886592294471</v>
      </c>
      <c r="N118">
        <v>38.478692358865437</v>
      </c>
      <c r="O118">
        <f t="shared" si="19"/>
        <v>0</v>
      </c>
      <c r="P118">
        <f t="shared" si="20"/>
        <v>0</v>
      </c>
      <c r="Q118">
        <f t="shared" si="21"/>
        <v>-2.1520000000000001</v>
      </c>
      <c r="R118">
        <v>1</v>
      </c>
      <c r="S118">
        <f t="shared" si="15"/>
        <v>0.94771007219347947</v>
      </c>
      <c r="T118">
        <v>0.74188366377060744</v>
      </c>
      <c r="U118">
        <f t="shared" si="16"/>
        <v>-0.20582640842287203</v>
      </c>
    </row>
    <row r="119" spans="1:21">
      <c r="A119">
        <f t="shared" si="17"/>
        <v>118</v>
      </c>
      <c r="B119" s="2">
        <f t="shared" si="18"/>
        <v>65</v>
      </c>
      <c r="C119" s="25">
        <v>43571</v>
      </c>
      <c r="D119" s="26">
        <v>0.55440972223004792</v>
      </c>
      <c r="E119" s="27">
        <v>-8.2200000000000006</v>
      </c>
      <c r="F119" s="27">
        <v>116.76</v>
      </c>
      <c r="G119" s="36">
        <v>4.5999999999999996</v>
      </c>
      <c r="H119" s="27">
        <v>16</v>
      </c>
      <c r="I119" s="41" t="s">
        <v>10</v>
      </c>
      <c r="J119" s="45" t="s">
        <v>13</v>
      </c>
      <c r="K119">
        <v>386</v>
      </c>
      <c r="L119">
        <f t="shared" si="14"/>
        <v>2</v>
      </c>
      <c r="M119">
        <v>217.7283448303655</v>
      </c>
      <c r="N119">
        <v>218.31544183261647</v>
      </c>
      <c r="O119">
        <f t="shared" si="19"/>
        <v>1</v>
      </c>
      <c r="P119">
        <f t="shared" si="20"/>
        <v>1</v>
      </c>
      <c r="Q119">
        <f t="shared" si="21"/>
        <v>-1.776</v>
      </c>
      <c r="R119">
        <v>0</v>
      </c>
      <c r="S119">
        <f t="shared" si="15"/>
        <v>-2.3374032892723808</v>
      </c>
      <c r="T119">
        <v>-1.8191900147506097</v>
      </c>
      <c r="U119">
        <f t="shared" si="16"/>
        <v>0.51821327452177113</v>
      </c>
    </row>
    <row r="120" spans="1:21">
      <c r="A120">
        <f t="shared" si="17"/>
        <v>119</v>
      </c>
      <c r="B120" s="2">
        <f t="shared" si="18"/>
        <v>66</v>
      </c>
      <c r="C120" s="25">
        <v>43579</v>
      </c>
      <c r="D120" s="26">
        <v>0.76734953703999054</v>
      </c>
      <c r="E120" s="27">
        <v>-8.1</v>
      </c>
      <c r="F120" s="27">
        <v>117.71</v>
      </c>
      <c r="G120" s="36">
        <v>3.8</v>
      </c>
      <c r="H120" s="27">
        <v>10</v>
      </c>
      <c r="I120" s="41" t="s">
        <v>10</v>
      </c>
      <c r="J120" s="45" t="s">
        <v>13</v>
      </c>
      <c r="K120">
        <v>386</v>
      </c>
      <c r="L120">
        <f t="shared" si="14"/>
        <v>2</v>
      </c>
      <c r="M120">
        <v>119.77550230598494</v>
      </c>
      <c r="N120">
        <v>120.19222500915359</v>
      </c>
      <c r="O120">
        <f t="shared" si="19"/>
        <v>0</v>
      </c>
      <c r="P120">
        <f t="shared" si="20"/>
        <v>1</v>
      </c>
      <c r="Q120">
        <f t="shared" si="21"/>
        <v>-1.776</v>
      </c>
      <c r="R120">
        <v>1</v>
      </c>
      <c r="S120">
        <f t="shared" si="15"/>
        <v>-2.7544679042994078</v>
      </c>
      <c r="T120">
        <v>-2.9831123946272515</v>
      </c>
      <c r="U120">
        <f t="shared" si="16"/>
        <v>-0.22864449032784373</v>
      </c>
    </row>
    <row r="121" spans="1:21">
      <c r="A121">
        <f t="shared" si="17"/>
        <v>120</v>
      </c>
      <c r="B121" s="2">
        <f t="shared" si="18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36">
        <v>3.8</v>
      </c>
      <c r="H121" s="5">
        <v>10</v>
      </c>
      <c r="I121" s="41" t="s">
        <v>10</v>
      </c>
      <c r="J121" s="45" t="s">
        <v>17</v>
      </c>
      <c r="K121">
        <v>1141</v>
      </c>
      <c r="L121">
        <f t="shared" si="14"/>
        <v>1</v>
      </c>
      <c r="M121">
        <v>116.1383311956387</v>
      </c>
      <c r="N121">
        <v>116.568057258015</v>
      </c>
      <c r="O121">
        <f t="shared" si="19"/>
        <v>0</v>
      </c>
      <c r="P121">
        <f t="shared" si="20"/>
        <v>1</v>
      </c>
      <c r="Q121">
        <f t="shared" si="21"/>
        <v>-2.1520000000000001</v>
      </c>
      <c r="R121">
        <v>0</v>
      </c>
      <c r="S121">
        <f t="shared" si="15"/>
        <v>-3.0981867259620453</v>
      </c>
      <c r="T121">
        <v>-4.1566478724173654</v>
      </c>
      <c r="U121">
        <f t="shared" si="16"/>
        <v>-1.0584611464553202</v>
      </c>
    </row>
    <row r="122" spans="1:21">
      <c r="A122">
        <f t="shared" si="17"/>
        <v>121</v>
      </c>
      <c r="B122" s="2">
        <f t="shared" si="18"/>
        <v>67</v>
      </c>
      <c r="C122" s="25">
        <v>43699</v>
      </c>
      <c r="D122" s="26">
        <v>0.37410879629629629</v>
      </c>
      <c r="E122" s="27">
        <v>-7.92</v>
      </c>
      <c r="F122" s="27">
        <v>117.15</v>
      </c>
      <c r="G122" s="36">
        <v>4.7</v>
      </c>
      <c r="H122" s="27">
        <v>10</v>
      </c>
      <c r="I122" s="41" t="s">
        <v>10</v>
      </c>
      <c r="J122" s="45" t="s">
        <v>13</v>
      </c>
      <c r="K122">
        <v>386</v>
      </c>
      <c r="L122">
        <f t="shared" si="14"/>
        <v>2</v>
      </c>
      <c r="M122">
        <v>184.86066146795699</v>
      </c>
      <c r="N122">
        <v>185.13093787471232</v>
      </c>
      <c r="O122">
        <f t="shared" si="19"/>
        <v>0</v>
      </c>
      <c r="P122">
        <f t="shared" si="20"/>
        <v>1</v>
      </c>
      <c r="Q122">
        <f t="shared" si="21"/>
        <v>-1.776</v>
      </c>
      <c r="R122">
        <v>1</v>
      </c>
      <c r="S122">
        <f t="shared" si="15"/>
        <v>-2.0498133084255672</v>
      </c>
      <c r="T122">
        <v>-2.2045733979187454</v>
      </c>
      <c r="U122">
        <f t="shared" si="16"/>
        <v>-0.15476008949317821</v>
      </c>
    </row>
    <row r="123" spans="1:21">
      <c r="A123">
        <f t="shared" si="17"/>
        <v>122</v>
      </c>
      <c r="B123" s="2">
        <f t="shared" si="18"/>
        <v>67</v>
      </c>
      <c r="C123" s="25">
        <v>43699</v>
      </c>
      <c r="D123" s="26">
        <v>0.37410879629629629</v>
      </c>
      <c r="E123" s="27">
        <v>-7.92</v>
      </c>
      <c r="F123" s="27">
        <v>117.15</v>
      </c>
      <c r="G123" s="36">
        <v>4.7</v>
      </c>
      <c r="H123" s="27">
        <v>10</v>
      </c>
      <c r="I123" s="2" t="s">
        <v>10</v>
      </c>
      <c r="J123" s="45" t="s">
        <v>16</v>
      </c>
      <c r="K123">
        <v>770</v>
      </c>
      <c r="L123">
        <f t="shared" si="14"/>
        <v>1</v>
      </c>
      <c r="M123">
        <v>134.91677794532623</v>
      </c>
      <c r="N123">
        <v>135.28686917490725</v>
      </c>
      <c r="O123">
        <f t="shared" si="19"/>
        <v>0</v>
      </c>
      <c r="P123">
        <f t="shared" si="20"/>
        <v>1</v>
      </c>
      <c r="Q123">
        <f t="shared" si="21"/>
        <v>-2.1520000000000001</v>
      </c>
      <c r="R123">
        <v>1</v>
      </c>
      <c r="S123">
        <f t="shared" si="15"/>
        <v>-2.0862799656192443</v>
      </c>
      <c r="T123">
        <v>-3.2309558846357671</v>
      </c>
      <c r="U123">
        <f t="shared" si="16"/>
        <v>-1.1446759190165228</v>
      </c>
    </row>
    <row r="124" spans="1:21">
      <c r="A124">
        <f t="shared" si="17"/>
        <v>123</v>
      </c>
      <c r="B124" s="2">
        <f t="shared" si="18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36">
        <v>4.7</v>
      </c>
      <c r="H124" s="5">
        <v>10</v>
      </c>
      <c r="I124" s="41" t="s">
        <v>10</v>
      </c>
      <c r="J124" s="45" t="s">
        <v>19</v>
      </c>
      <c r="K124">
        <v>283</v>
      </c>
      <c r="L124">
        <f t="shared" si="14"/>
        <v>3</v>
      </c>
      <c r="M124">
        <v>69.541234354373785</v>
      </c>
      <c r="N124">
        <v>70.25655325683104</v>
      </c>
      <c r="O124">
        <f t="shared" si="19"/>
        <v>0</v>
      </c>
      <c r="P124">
        <f t="shared" si="20"/>
        <v>1</v>
      </c>
      <c r="Q124">
        <f t="shared" si="21"/>
        <v>-1.5229999999999999</v>
      </c>
      <c r="R124">
        <v>0</v>
      </c>
      <c r="S124">
        <f t="shared" si="15"/>
        <v>-0.73509122544331529</v>
      </c>
      <c r="T124">
        <v>0.11252854598307051</v>
      </c>
      <c r="U124">
        <f t="shared" si="16"/>
        <v>0.84761977142638578</v>
      </c>
    </row>
    <row r="125" spans="1:21">
      <c r="A125">
        <f t="shared" si="17"/>
        <v>124</v>
      </c>
      <c r="B125" s="2">
        <f t="shared" si="18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36">
        <v>4.7</v>
      </c>
      <c r="H125" s="5">
        <v>10</v>
      </c>
      <c r="I125" s="41" t="s">
        <v>10</v>
      </c>
      <c r="J125" s="45" t="s">
        <v>17</v>
      </c>
      <c r="K125">
        <v>1141</v>
      </c>
      <c r="L125">
        <f t="shared" si="14"/>
        <v>1</v>
      </c>
      <c r="M125">
        <v>95.643589621406889</v>
      </c>
      <c r="N125">
        <v>96.164942862085098</v>
      </c>
      <c r="O125">
        <f t="shared" si="19"/>
        <v>0</v>
      </c>
      <c r="P125">
        <f t="shared" si="20"/>
        <v>1</v>
      </c>
      <c r="Q125">
        <f t="shared" si="21"/>
        <v>-2.1520000000000001</v>
      </c>
      <c r="R125">
        <v>0</v>
      </c>
      <c r="S125">
        <f t="shared" si="15"/>
        <v>-1.7135114865957985</v>
      </c>
      <c r="T125">
        <v>-0.36004869784544541</v>
      </c>
      <c r="U125">
        <f t="shared" si="16"/>
        <v>1.3534627887503532</v>
      </c>
    </row>
    <row r="126" spans="1:21">
      <c r="A126">
        <f t="shared" si="17"/>
        <v>125</v>
      </c>
      <c r="B126" s="2">
        <f t="shared" si="18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36">
        <v>4.5999999999999996</v>
      </c>
      <c r="H126" s="5">
        <v>10</v>
      </c>
      <c r="I126" s="41" t="s">
        <v>10</v>
      </c>
      <c r="J126" s="45" t="s">
        <v>14</v>
      </c>
      <c r="K126">
        <v>290</v>
      </c>
      <c r="L126">
        <f t="shared" si="14"/>
        <v>3</v>
      </c>
      <c r="M126">
        <v>96.937892582870234</v>
      </c>
      <c r="N126">
        <v>97.452321770228167</v>
      </c>
      <c r="O126">
        <f t="shared" si="19"/>
        <v>0</v>
      </c>
      <c r="P126">
        <f t="shared" si="20"/>
        <v>1</v>
      </c>
      <c r="Q126">
        <f t="shared" si="21"/>
        <v>-1.5229999999999999</v>
      </c>
      <c r="R126">
        <v>1</v>
      </c>
      <c r="S126">
        <f t="shared" si="15"/>
        <v>-1.2322736675193413</v>
      </c>
      <c r="T126">
        <v>-1.0406858843236537</v>
      </c>
      <c r="U126">
        <f t="shared" si="16"/>
        <v>0.19158778319568759</v>
      </c>
    </row>
    <row r="127" spans="1:21">
      <c r="A127">
        <f t="shared" si="17"/>
        <v>126</v>
      </c>
      <c r="B127" s="2">
        <f t="shared" si="18"/>
        <v>68</v>
      </c>
      <c r="C127" s="29">
        <v>43720</v>
      </c>
      <c r="D127" s="30">
        <v>0.27743055555555557</v>
      </c>
      <c r="E127" s="31">
        <v>-7.89</v>
      </c>
      <c r="F127" s="31">
        <v>117.69</v>
      </c>
      <c r="G127" s="36">
        <v>4.5999999999999996</v>
      </c>
      <c r="H127" s="31">
        <v>10</v>
      </c>
      <c r="I127" s="2" t="s">
        <v>10</v>
      </c>
      <c r="J127" s="45" t="s">
        <v>16</v>
      </c>
      <c r="K127">
        <v>770</v>
      </c>
      <c r="L127">
        <f t="shared" si="14"/>
        <v>1</v>
      </c>
      <c r="M127">
        <v>184.53152886292455</v>
      </c>
      <c r="N127">
        <v>184.80228663219606</v>
      </c>
      <c r="O127">
        <f t="shared" si="19"/>
        <v>0</v>
      </c>
      <c r="P127">
        <f t="shared" si="20"/>
        <v>1</v>
      </c>
      <c r="Q127">
        <f t="shared" si="21"/>
        <v>-2.1520000000000001</v>
      </c>
      <c r="R127">
        <v>0</v>
      </c>
      <c r="S127">
        <f t="shared" si="15"/>
        <v>-2.5538106755372407</v>
      </c>
      <c r="T127">
        <v>-3.9216460577944976</v>
      </c>
      <c r="U127">
        <f t="shared" si="16"/>
        <v>-1.3678353822572569</v>
      </c>
    </row>
    <row r="128" spans="1:21">
      <c r="A128">
        <f t="shared" si="17"/>
        <v>127</v>
      </c>
      <c r="B128" s="2">
        <f t="shared" si="18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36">
        <v>4.5999999999999996</v>
      </c>
      <c r="H128" s="5">
        <v>10</v>
      </c>
      <c r="I128" s="41" t="s">
        <v>10</v>
      </c>
      <c r="J128" s="45" t="s">
        <v>19</v>
      </c>
      <c r="K128">
        <v>283</v>
      </c>
      <c r="L128">
        <f t="shared" si="14"/>
        <v>3</v>
      </c>
      <c r="M128">
        <v>73.219283176838076</v>
      </c>
      <c r="N128">
        <v>73.899008308163403</v>
      </c>
      <c r="O128">
        <f t="shared" si="19"/>
        <v>0</v>
      </c>
      <c r="P128">
        <f t="shared" si="20"/>
        <v>1</v>
      </c>
      <c r="Q128">
        <f t="shared" si="21"/>
        <v>-1.5229999999999999</v>
      </c>
      <c r="R128">
        <v>0</v>
      </c>
      <c r="S128">
        <f t="shared" si="15"/>
        <v>-0.92737857616728725</v>
      </c>
      <c r="T128">
        <v>-0.92738653935538506</v>
      </c>
      <c r="U128">
        <f t="shared" si="16"/>
        <v>-7.9631880978148217E-6</v>
      </c>
    </row>
    <row r="129" spans="1:21">
      <c r="A129">
        <f t="shared" si="17"/>
        <v>128</v>
      </c>
      <c r="B129" s="2">
        <f t="shared" si="18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36">
        <v>4.5999999999999996</v>
      </c>
      <c r="H129" s="5">
        <v>10</v>
      </c>
      <c r="I129" s="41" t="s">
        <v>10</v>
      </c>
      <c r="J129" s="45" t="s">
        <v>17</v>
      </c>
      <c r="K129">
        <v>1141</v>
      </c>
      <c r="L129">
        <f t="shared" si="14"/>
        <v>1</v>
      </c>
      <c r="M129">
        <v>130.14062651273792</v>
      </c>
      <c r="N129">
        <v>130.52426084497833</v>
      </c>
      <c r="O129">
        <f t="shared" si="19"/>
        <v>0</v>
      </c>
      <c r="P129">
        <f t="shared" si="20"/>
        <v>1</v>
      </c>
      <c r="Q129">
        <f t="shared" si="21"/>
        <v>-2.1520000000000001</v>
      </c>
      <c r="R129">
        <v>0</v>
      </c>
      <c r="S129">
        <f t="shared" si="15"/>
        <v>-2.1787429968826793</v>
      </c>
      <c r="T129">
        <v>-2.5044630168264854</v>
      </c>
      <c r="U129">
        <f t="shared" si="16"/>
        <v>-0.32572001994380617</v>
      </c>
    </row>
    <row r="130" spans="1:21">
      <c r="A130">
        <f t="shared" si="17"/>
        <v>129</v>
      </c>
      <c r="B130" s="2">
        <f t="shared" si="18"/>
        <v>69</v>
      </c>
      <c r="C130" s="25">
        <v>43836</v>
      </c>
      <c r="D130" s="26">
        <v>0.81380787037037028</v>
      </c>
      <c r="E130" s="27">
        <v>-8.17</v>
      </c>
      <c r="F130" s="27">
        <v>118.52</v>
      </c>
      <c r="G130" s="36">
        <v>4.4000000000000004</v>
      </c>
      <c r="H130" s="27">
        <v>14</v>
      </c>
      <c r="I130" s="41" t="s">
        <v>10</v>
      </c>
      <c r="J130" s="45" t="s">
        <v>13</v>
      </c>
      <c r="K130">
        <v>386</v>
      </c>
      <c r="L130">
        <f t="shared" si="14"/>
        <v>2</v>
      </c>
      <c r="M130">
        <v>45.650378932391213</v>
      </c>
      <c r="N130">
        <v>47.748896287463104</v>
      </c>
      <c r="O130">
        <f t="shared" ref="O130:O157" si="22">IF(H130&lt;15,0,1)</f>
        <v>0</v>
      </c>
      <c r="P130">
        <f t="shared" ref="P130:P157" si="23">IF(I130="reverse",1,0)</f>
        <v>1</v>
      </c>
      <c r="Q130">
        <f t="shared" ref="Q130:Q157" si="24">IF(L130=1,$W$8,IF(L130=2,$W$9,$W$10))</f>
        <v>-1.776</v>
      </c>
      <c r="R130">
        <v>0</v>
      </c>
      <c r="S130">
        <f t="shared" si="15"/>
        <v>-0.96178796463799454</v>
      </c>
      <c r="T130">
        <v>-1.3362926644857218</v>
      </c>
      <c r="U130">
        <f t="shared" si="16"/>
        <v>-0.37450469984772727</v>
      </c>
    </row>
    <row r="131" spans="1:21">
      <c r="A131">
        <f t="shared" si="17"/>
        <v>130</v>
      </c>
      <c r="B131" s="2">
        <f t="shared" si="18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36">
        <v>4.4000000000000004</v>
      </c>
      <c r="H131" s="5">
        <v>14</v>
      </c>
      <c r="I131" s="41" t="s">
        <v>10</v>
      </c>
      <c r="J131" s="45" t="s">
        <v>14</v>
      </c>
      <c r="K131">
        <v>290</v>
      </c>
      <c r="L131">
        <f t="shared" ref="L131:L157" si="25">IF(K131&gt;600,1,IF(AND(K131&lt;=600,K131&gt;300),2,3))</f>
        <v>3</v>
      </c>
      <c r="M131">
        <v>43.516837554768216</v>
      </c>
      <c r="N131">
        <v>45.713402310133134</v>
      </c>
      <c r="O131">
        <f t="shared" si="22"/>
        <v>0</v>
      </c>
      <c r="P131">
        <f t="shared" si="23"/>
        <v>1</v>
      </c>
      <c r="Q131">
        <f t="shared" si="24"/>
        <v>-1.5229999999999999</v>
      </c>
      <c r="R131">
        <v>0</v>
      </c>
      <c r="S131">
        <f t="shared" ref="S131:S157" si="26">$W$2*G131+$W$3*N131-LN(N131+($W$4*EXP($W$5*G131)))+$W$6*(H131-15)*O131+$W$7*P131+Q131</f>
        <v>-0.65902504401045459</v>
      </c>
      <c r="T131">
        <v>-0.70572009398989088</v>
      </c>
      <c r="U131">
        <f t="shared" ref="U131:U157" si="27">T131-S131</f>
        <v>-4.6695049979436298E-2</v>
      </c>
    </row>
    <row r="132" spans="1:21">
      <c r="A132">
        <f t="shared" ref="A132:A157" si="28">A131+1</f>
        <v>131</v>
      </c>
      <c r="B132" s="2">
        <f t="shared" si="18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36">
        <v>4.4000000000000004</v>
      </c>
      <c r="H132" s="5">
        <v>14</v>
      </c>
      <c r="I132" s="41" t="s">
        <v>10</v>
      </c>
      <c r="J132" s="45" t="s">
        <v>19</v>
      </c>
      <c r="K132">
        <v>283</v>
      </c>
      <c r="L132">
        <f t="shared" si="25"/>
        <v>3</v>
      </c>
      <c r="M132">
        <v>127.96159236009052</v>
      </c>
      <c r="N132">
        <v>128.72516894271291</v>
      </c>
      <c r="O132">
        <f t="shared" si="22"/>
        <v>0</v>
      </c>
      <c r="P132">
        <f t="shared" si="23"/>
        <v>1</v>
      </c>
      <c r="Q132">
        <f t="shared" si="24"/>
        <v>-1.5229999999999999</v>
      </c>
      <c r="R132">
        <v>1</v>
      </c>
      <c r="S132">
        <f t="shared" si="26"/>
        <v>-1.7963864911843634</v>
      </c>
      <c r="T132">
        <v>-1.6632489367761651</v>
      </c>
      <c r="U132">
        <f t="shared" si="27"/>
        <v>0.1331375544081983</v>
      </c>
    </row>
    <row r="133" spans="1:21">
      <c r="A133" s="8">
        <f t="shared" si="28"/>
        <v>132</v>
      </c>
      <c r="B133" s="9">
        <f t="shared" si="18"/>
        <v>69</v>
      </c>
      <c r="C133" s="10">
        <v>43836</v>
      </c>
      <c r="D133" s="11">
        <v>0.81380787037037028</v>
      </c>
      <c r="E133" s="12">
        <v>-8.17</v>
      </c>
      <c r="F133" s="12">
        <v>118.52</v>
      </c>
      <c r="G133" s="37">
        <v>4.4000000000000004</v>
      </c>
      <c r="H133" s="12">
        <v>14</v>
      </c>
      <c r="I133" s="42" t="s">
        <v>10</v>
      </c>
      <c r="J133" s="46" t="s">
        <v>17</v>
      </c>
      <c r="K133">
        <v>1141</v>
      </c>
      <c r="L133">
        <f t="shared" si="25"/>
        <v>1</v>
      </c>
      <c r="M133">
        <v>192.61618215084559</v>
      </c>
      <c r="N133">
        <v>193.12429579513741</v>
      </c>
      <c r="O133">
        <f t="shared" si="22"/>
        <v>0</v>
      </c>
      <c r="P133">
        <f t="shared" si="23"/>
        <v>1</v>
      </c>
      <c r="Q133">
        <f t="shared" si="24"/>
        <v>-2.1520000000000001</v>
      </c>
      <c r="R133">
        <v>0</v>
      </c>
      <c r="S133">
        <f t="shared" si="26"/>
        <v>-2.8600159996865937</v>
      </c>
      <c r="T133">
        <v>-3.7927315031434476</v>
      </c>
      <c r="U133">
        <f t="shared" si="27"/>
        <v>-0.93271550345685394</v>
      </c>
    </row>
    <row r="134" spans="1:21">
      <c r="A134">
        <f t="shared" si="28"/>
        <v>133</v>
      </c>
      <c r="B134" s="2">
        <f t="shared" si="18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36">
        <v>4.4000000000000004</v>
      </c>
      <c r="H134" s="5">
        <v>26</v>
      </c>
      <c r="I134" s="41" t="s">
        <v>10</v>
      </c>
      <c r="J134" s="45" t="s">
        <v>14</v>
      </c>
      <c r="K134">
        <v>290</v>
      </c>
      <c r="L134">
        <f t="shared" si="25"/>
        <v>3</v>
      </c>
      <c r="M134">
        <v>93.582452874927512</v>
      </c>
      <c r="N134">
        <v>97.127109944072913</v>
      </c>
      <c r="O134">
        <f t="shared" si="22"/>
        <v>1</v>
      </c>
      <c r="P134">
        <f t="shared" si="23"/>
        <v>1</v>
      </c>
      <c r="Q134">
        <f t="shared" si="24"/>
        <v>-1.5229999999999999</v>
      </c>
      <c r="R134">
        <v>0</v>
      </c>
      <c r="S134">
        <f t="shared" si="26"/>
        <v>-1.2720962561306273</v>
      </c>
      <c r="T134">
        <v>-1.9071353479824418</v>
      </c>
      <c r="U134">
        <f t="shared" si="27"/>
        <v>-0.63503909185181451</v>
      </c>
    </row>
    <row r="135" spans="1:21">
      <c r="A135" s="8">
        <f t="shared" si="28"/>
        <v>134</v>
      </c>
      <c r="B135" s="9">
        <f t="shared" ref="B135:B157" si="29">IF(D135=D134,B134,B134+1)</f>
        <v>70</v>
      </c>
      <c r="C135" s="10">
        <v>43879</v>
      </c>
      <c r="D135" s="11">
        <v>0.60881944444444447</v>
      </c>
      <c r="E135" s="12">
        <v>-7.83</v>
      </c>
      <c r="F135" s="12">
        <v>118.82</v>
      </c>
      <c r="G135" s="37">
        <v>4.4000000000000004</v>
      </c>
      <c r="H135" s="12">
        <v>26</v>
      </c>
      <c r="I135" s="42" t="s">
        <v>10</v>
      </c>
      <c r="J135" s="46" t="s">
        <v>17</v>
      </c>
      <c r="K135">
        <v>1141</v>
      </c>
      <c r="L135">
        <f t="shared" si="25"/>
        <v>1</v>
      </c>
      <c r="M135">
        <v>237.77709132514747</v>
      </c>
      <c r="N135">
        <v>239.19436690492424</v>
      </c>
      <c r="O135">
        <f t="shared" si="22"/>
        <v>1</v>
      </c>
      <c r="P135">
        <f t="shared" si="23"/>
        <v>1</v>
      </c>
      <c r="Q135">
        <f t="shared" si="24"/>
        <v>-2.1520000000000001</v>
      </c>
      <c r="R135">
        <v>1</v>
      </c>
      <c r="S135">
        <f t="shared" si="26"/>
        <v>-2.8686836855583344</v>
      </c>
      <c r="T135">
        <v>-4.3252763014581808</v>
      </c>
      <c r="U135">
        <f t="shared" si="27"/>
        <v>-1.4565926158998463</v>
      </c>
    </row>
    <row r="136" spans="1:21">
      <c r="A136">
        <f t="shared" si="28"/>
        <v>135</v>
      </c>
      <c r="B136" s="2">
        <f t="shared" si="29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36">
        <v>3.6</v>
      </c>
      <c r="H136" s="5">
        <v>10</v>
      </c>
      <c r="I136" s="41" t="s">
        <v>10</v>
      </c>
      <c r="J136" s="45" t="s">
        <v>14</v>
      </c>
      <c r="K136">
        <v>290</v>
      </c>
      <c r="L136">
        <f t="shared" si="25"/>
        <v>3</v>
      </c>
      <c r="M136">
        <v>191.64887216059438</v>
      </c>
      <c r="N136">
        <v>191.90958860991768</v>
      </c>
      <c r="O136">
        <f t="shared" si="22"/>
        <v>0</v>
      </c>
      <c r="P136">
        <f t="shared" si="23"/>
        <v>1</v>
      </c>
      <c r="Q136">
        <f t="shared" si="24"/>
        <v>-1.5229999999999999</v>
      </c>
      <c r="R136">
        <v>0</v>
      </c>
      <c r="S136">
        <f t="shared" si="26"/>
        <v>-3.2515331980119466</v>
      </c>
      <c r="T136">
        <v>-3.750094624597903</v>
      </c>
      <c r="U136">
        <f t="shared" si="27"/>
        <v>-0.49856142658595637</v>
      </c>
    </row>
    <row r="137" spans="1:21">
      <c r="A137">
        <f t="shared" si="28"/>
        <v>136</v>
      </c>
      <c r="B137" s="2">
        <f t="shared" si="29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36">
        <v>3.6</v>
      </c>
      <c r="H137" s="5">
        <v>10</v>
      </c>
      <c r="I137" s="41" t="s">
        <v>10</v>
      </c>
      <c r="J137" s="45" t="s">
        <v>17</v>
      </c>
      <c r="K137">
        <v>1141</v>
      </c>
      <c r="L137">
        <f t="shared" si="25"/>
        <v>1</v>
      </c>
      <c r="M137">
        <v>49.632687466105466</v>
      </c>
      <c r="N137">
        <v>50.63006680923997</v>
      </c>
      <c r="O137">
        <f t="shared" si="22"/>
        <v>0</v>
      </c>
      <c r="P137">
        <f t="shared" si="23"/>
        <v>1</v>
      </c>
      <c r="Q137">
        <f t="shared" si="24"/>
        <v>-2.1520000000000001</v>
      </c>
      <c r="R137">
        <v>1</v>
      </c>
      <c r="S137">
        <f t="shared" si="26"/>
        <v>-2.4758849842640469</v>
      </c>
      <c r="T137">
        <v>-3.9842276292715004</v>
      </c>
      <c r="U137">
        <f t="shared" si="27"/>
        <v>-1.5083426450074535</v>
      </c>
    </row>
    <row r="138" spans="1:21">
      <c r="A138">
        <f t="shared" si="28"/>
        <v>137</v>
      </c>
      <c r="B138" s="2">
        <f t="shared" si="29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36">
        <v>3.8</v>
      </c>
      <c r="H138" s="5">
        <v>12</v>
      </c>
      <c r="I138" s="41" t="s">
        <v>10</v>
      </c>
      <c r="J138" s="45" t="s">
        <v>14</v>
      </c>
      <c r="K138">
        <v>290</v>
      </c>
      <c r="L138">
        <f t="shared" si="25"/>
        <v>3</v>
      </c>
      <c r="M138">
        <v>231.58708017250825</v>
      </c>
      <c r="N138">
        <v>231.89776993931565</v>
      </c>
      <c r="O138">
        <f t="shared" si="22"/>
        <v>0</v>
      </c>
      <c r="P138">
        <f t="shared" si="23"/>
        <v>1</v>
      </c>
      <c r="Q138">
        <f t="shared" si="24"/>
        <v>-1.5229999999999999</v>
      </c>
      <c r="R138">
        <v>1</v>
      </c>
      <c r="S138">
        <f t="shared" si="26"/>
        <v>-3.1967518248302556</v>
      </c>
      <c r="T138">
        <v>-4.1725854766825901</v>
      </c>
      <c r="U138">
        <f t="shared" si="27"/>
        <v>-0.9758336518523345</v>
      </c>
    </row>
    <row r="139" spans="1:21">
      <c r="A139">
        <f t="shared" si="28"/>
        <v>138</v>
      </c>
      <c r="B139" s="2">
        <f t="shared" si="29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36">
        <v>3.8</v>
      </c>
      <c r="H139" s="5">
        <v>12</v>
      </c>
      <c r="I139" s="41" t="s">
        <v>10</v>
      </c>
      <c r="J139" s="45" t="s">
        <v>15</v>
      </c>
      <c r="K139">
        <v>210</v>
      </c>
      <c r="L139">
        <f t="shared" si="25"/>
        <v>3</v>
      </c>
      <c r="M139">
        <v>23.286409728284827</v>
      </c>
      <c r="N139">
        <v>26.196505072882495</v>
      </c>
      <c r="O139">
        <f t="shared" si="22"/>
        <v>0</v>
      </c>
      <c r="P139">
        <f t="shared" si="23"/>
        <v>1</v>
      </c>
      <c r="Q139">
        <f t="shared" si="24"/>
        <v>-1.5229999999999999</v>
      </c>
      <c r="R139">
        <v>0</v>
      </c>
      <c r="S139">
        <f t="shared" si="26"/>
        <v>-0.85308312419744681</v>
      </c>
      <c r="T139">
        <v>-2.1228556452381544</v>
      </c>
      <c r="U139">
        <f t="shared" si="27"/>
        <v>-1.2697725210407076</v>
      </c>
    </row>
    <row r="140" spans="1:21">
      <c r="A140">
        <f t="shared" si="28"/>
        <v>139</v>
      </c>
      <c r="B140" s="2">
        <f t="shared" si="29"/>
        <v>72</v>
      </c>
      <c r="C140" s="24">
        <v>43892</v>
      </c>
      <c r="D140" s="4">
        <v>0.968287037037037</v>
      </c>
      <c r="E140" s="5">
        <v>-8.4</v>
      </c>
      <c r="F140" s="5">
        <v>116.23</v>
      </c>
      <c r="G140" s="36">
        <v>3.8</v>
      </c>
      <c r="H140" s="5">
        <v>12</v>
      </c>
      <c r="I140" s="2" t="s">
        <v>10</v>
      </c>
      <c r="J140" s="45" t="s">
        <v>16</v>
      </c>
      <c r="K140">
        <v>770</v>
      </c>
      <c r="L140">
        <f t="shared" si="25"/>
        <v>1</v>
      </c>
      <c r="M140">
        <v>41.034935023077367</v>
      </c>
      <c r="N140">
        <v>42.753548301260111</v>
      </c>
      <c r="O140">
        <f t="shared" si="22"/>
        <v>0</v>
      </c>
      <c r="P140">
        <f t="shared" si="23"/>
        <v>1</v>
      </c>
      <c r="Q140">
        <f t="shared" si="24"/>
        <v>-2.1520000000000001</v>
      </c>
      <c r="R140">
        <v>0</v>
      </c>
      <c r="S140">
        <f t="shared" si="26"/>
        <v>-2.0284313038824431</v>
      </c>
      <c r="T140">
        <v>-3.8372713181702922</v>
      </c>
      <c r="U140">
        <f t="shared" si="27"/>
        <v>-1.8088400142878491</v>
      </c>
    </row>
    <row r="141" spans="1:21">
      <c r="A141">
        <f t="shared" si="28"/>
        <v>140</v>
      </c>
      <c r="B141" s="2">
        <f t="shared" si="29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36">
        <v>3.8</v>
      </c>
      <c r="H141" s="5">
        <v>12</v>
      </c>
      <c r="I141" s="41" t="s">
        <v>10</v>
      </c>
      <c r="J141" s="45" t="s">
        <v>19</v>
      </c>
      <c r="K141">
        <v>283</v>
      </c>
      <c r="L141">
        <f t="shared" si="25"/>
        <v>3</v>
      </c>
      <c r="M141">
        <v>131.79443249974477</v>
      </c>
      <c r="N141">
        <v>132.33961023793964</v>
      </c>
      <c r="O141">
        <f t="shared" si="22"/>
        <v>0</v>
      </c>
      <c r="P141">
        <f t="shared" si="23"/>
        <v>1</v>
      </c>
      <c r="Q141">
        <f t="shared" si="24"/>
        <v>-1.5229999999999999</v>
      </c>
      <c r="R141">
        <v>1</v>
      </c>
      <c r="S141">
        <f t="shared" si="26"/>
        <v>-2.6029786143134972</v>
      </c>
      <c r="T141">
        <v>-3.0331738660730405</v>
      </c>
      <c r="U141">
        <f t="shared" si="27"/>
        <v>-0.43019525175954332</v>
      </c>
    </row>
    <row r="142" spans="1:21">
      <c r="A142">
        <f t="shared" si="28"/>
        <v>141</v>
      </c>
      <c r="B142" s="2">
        <f t="shared" si="29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36">
        <v>3.8</v>
      </c>
      <c r="H142" s="5">
        <v>12</v>
      </c>
      <c r="I142" s="41" t="s">
        <v>10</v>
      </c>
      <c r="J142" s="45" t="s">
        <v>17</v>
      </c>
      <c r="K142">
        <v>1141</v>
      </c>
      <c r="L142">
        <f t="shared" si="25"/>
        <v>1</v>
      </c>
      <c r="M142">
        <v>81.597304805416869</v>
      </c>
      <c r="N142">
        <v>82.474966817259812</v>
      </c>
      <c r="O142">
        <f t="shared" si="22"/>
        <v>0</v>
      </c>
      <c r="P142">
        <f t="shared" si="23"/>
        <v>1</v>
      </c>
      <c r="Q142">
        <f t="shared" si="24"/>
        <v>-2.1520000000000001</v>
      </c>
      <c r="R142">
        <v>1</v>
      </c>
      <c r="S142">
        <f t="shared" si="26"/>
        <v>-2.7327949689757789</v>
      </c>
      <c r="T142">
        <v>-4.3743069080462877</v>
      </c>
      <c r="U142">
        <f t="shared" si="27"/>
        <v>-1.6415119390705089</v>
      </c>
    </row>
    <row r="143" spans="1:21">
      <c r="A143">
        <f t="shared" si="28"/>
        <v>142</v>
      </c>
      <c r="B143" s="2">
        <f t="shared" si="29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36">
        <v>4.2</v>
      </c>
      <c r="H143" s="5">
        <v>16</v>
      </c>
      <c r="I143" s="41" t="s">
        <v>10</v>
      </c>
      <c r="J143" s="45" t="s">
        <v>14</v>
      </c>
      <c r="K143">
        <v>290</v>
      </c>
      <c r="L143">
        <f t="shared" si="25"/>
        <v>3</v>
      </c>
      <c r="M143">
        <v>236.87368372963641</v>
      </c>
      <c r="N143">
        <v>237.41344116045286</v>
      </c>
      <c r="O143">
        <f t="shared" si="22"/>
        <v>1</v>
      </c>
      <c r="P143">
        <f t="shared" si="23"/>
        <v>1</v>
      </c>
      <c r="Q143">
        <f t="shared" si="24"/>
        <v>-1.5229999999999999</v>
      </c>
      <c r="R143">
        <v>1</v>
      </c>
      <c r="S143">
        <f t="shared" si="26"/>
        <v>-2.6895889601245719</v>
      </c>
      <c r="T143">
        <v>-2.9128890637530049</v>
      </c>
      <c r="U143">
        <f t="shared" si="27"/>
        <v>-0.223300103628433</v>
      </c>
    </row>
    <row r="144" spans="1:21">
      <c r="A144">
        <f t="shared" si="28"/>
        <v>143</v>
      </c>
      <c r="B144" s="2">
        <f t="shared" si="29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36">
        <v>4.2</v>
      </c>
      <c r="H144" s="5">
        <v>16</v>
      </c>
      <c r="I144" s="41" t="s">
        <v>10</v>
      </c>
      <c r="J144" s="45" t="s">
        <v>19</v>
      </c>
      <c r="K144">
        <v>283</v>
      </c>
      <c r="L144">
        <f t="shared" si="25"/>
        <v>3</v>
      </c>
      <c r="M144">
        <v>138.25826990140519</v>
      </c>
      <c r="N144">
        <v>139.18099437829076</v>
      </c>
      <c r="O144">
        <f t="shared" si="22"/>
        <v>1</v>
      </c>
      <c r="P144">
        <f t="shared" si="23"/>
        <v>1</v>
      </c>
      <c r="Q144">
        <f t="shared" si="24"/>
        <v>-1.5229999999999999</v>
      </c>
      <c r="R144">
        <v>1</v>
      </c>
      <c r="S144">
        <f t="shared" si="26"/>
        <v>-2.1197100845345775</v>
      </c>
      <c r="T144">
        <v>-2.2686697781949392</v>
      </c>
      <c r="U144">
        <f t="shared" si="27"/>
        <v>-0.14895969366036166</v>
      </c>
    </row>
    <row r="145" spans="1:21">
      <c r="A145">
        <f t="shared" si="28"/>
        <v>144</v>
      </c>
      <c r="B145" s="2">
        <f t="shared" si="29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36">
        <v>4.8</v>
      </c>
      <c r="H145" s="5">
        <v>10</v>
      </c>
      <c r="I145" s="41" t="s">
        <v>10</v>
      </c>
      <c r="J145" s="45" t="s">
        <v>14</v>
      </c>
      <c r="K145">
        <v>290</v>
      </c>
      <c r="L145">
        <f t="shared" si="25"/>
        <v>3</v>
      </c>
      <c r="M145">
        <v>160.37359502632646</v>
      </c>
      <c r="N145">
        <v>160.68506458805734</v>
      </c>
      <c r="O145">
        <f t="shared" si="22"/>
        <v>0</v>
      </c>
      <c r="P145">
        <f t="shared" si="23"/>
        <v>1</v>
      </c>
      <c r="Q145">
        <f t="shared" si="24"/>
        <v>-1.5229999999999999</v>
      </c>
      <c r="R145">
        <v>0</v>
      </c>
      <c r="S145">
        <f t="shared" si="26"/>
        <v>-1.5128697565912148</v>
      </c>
      <c r="T145">
        <v>-0.80625096537173657</v>
      </c>
      <c r="U145">
        <f t="shared" si="27"/>
        <v>0.70661879121947824</v>
      </c>
    </row>
    <row r="146" spans="1:21">
      <c r="A146">
        <f t="shared" si="28"/>
        <v>145</v>
      </c>
      <c r="B146" s="2">
        <f t="shared" si="29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36">
        <v>3.5</v>
      </c>
      <c r="H146" s="5">
        <v>10</v>
      </c>
      <c r="I146" s="41" t="s">
        <v>10</v>
      </c>
      <c r="J146" s="45" t="s">
        <v>14</v>
      </c>
      <c r="K146">
        <v>290</v>
      </c>
      <c r="L146">
        <f t="shared" si="25"/>
        <v>3</v>
      </c>
      <c r="M146">
        <v>92.159817959932795</v>
      </c>
      <c r="N146">
        <v>92.700766158689063</v>
      </c>
      <c r="O146">
        <f t="shared" si="22"/>
        <v>0</v>
      </c>
      <c r="P146">
        <f t="shared" si="23"/>
        <v>1</v>
      </c>
      <c r="Q146">
        <f t="shared" si="24"/>
        <v>-1.5229999999999999</v>
      </c>
      <c r="R146">
        <v>0</v>
      </c>
      <c r="S146">
        <f t="shared" si="26"/>
        <v>-2.6154599515459447</v>
      </c>
      <c r="T146">
        <v>-3.1964594488922913</v>
      </c>
      <c r="U146">
        <f t="shared" si="27"/>
        <v>-0.58099949734634659</v>
      </c>
    </row>
    <row r="147" spans="1:21">
      <c r="A147">
        <f t="shared" si="28"/>
        <v>146</v>
      </c>
      <c r="B147" s="2">
        <f t="shared" si="29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36">
        <v>3.5</v>
      </c>
      <c r="H147" s="5">
        <v>10</v>
      </c>
      <c r="I147" s="41" t="s">
        <v>10</v>
      </c>
      <c r="J147" s="45" t="s">
        <v>17</v>
      </c>
      <c r="K147">
        <v>1141</v>
      </c>
      <c r="L147">
        <f t="shared" si="25"/>
        <v>1</v>
      </c>
      <c r="M147">
        <v>85.711155793911104</v>
      </c>
      <c r="N147">
        <v>86.292538655019882</v>
      </c>
      <c r="O147">
        <f t="shared" si="22"/>
        <v>0</v>
      </c>
      <c r="P147">
        <f t="shared" si="23"/>
        <v>1</v>
      </c>
      <c r="Q147">
        <f t="shared" si="24"/>
        <v>-2.1520000000000001</v>
      </c>
      <c r="R147">
        <v>0</v>
      </c>
      <c r="S147">
        <f t="shared" si="26"/>
        <v>-3.1693577332872334</v>
      </c>
      <c r="T147">
        <v>-4.7889465854885511</v>
      </c>
      <c r="U147">
        <f t="shared" si="27"/>
        <v>-1.6195888522013178</v>
      </c>
    </row>
    <row r="148" spans="1:21">
      <c r="A148">
        <f t="shared" si="28"/>
        <v>147</v>
      </c>
      <c r="B148" s="2">
        <f t="shared" si="29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36">
        <v>4.2</v>
      </c>
      <c r="H148" s="5">
        <v>10</v>
      </c>
      <c r="I148" s="41" t="s">
        <v>10</v>
      </c>
      <c r="J148" s="45" t="s">
        <v>14</v>
      </c>
      <c r="K148">
        <v>290</v>
      </c>
      <c r="L148">
        <f t="shared" si="25"/>
        <v>3</v>
      </c>
      <c r="M148">
        <v>190.05302625038044</v>
      </c>
      <c r="N148">
        <v>190.31592888386353</v>
      </c>
      <c r="O148">
        <f t="shared" si="22"/>
        <v>0</v>
      </c>
      <c r="P148">
        <f t="shared" si="23"/>
        <v>1</v>
      </c>
      <c r="Q148">
        <f t="shared" si="24"/>
        <v>-1.5229999999999999</v>
      </c>
      <c r="R148">
        <v>0</v>
      </c>
      <c r="S148">
        <f t="shared" si="26"/>
        <v>-2.4732026747527049</v>
      </c>
      <c r="T148">
        <v>-3.0253579932271921</v>
      </c>
      <c r="U148">
        <f t="shared" si="27"/>
        <v>-0.55215531847448718</v>
      </c>
    </row>
    <row r="149" spans="1:21">
      <c r="A149">
        <f t="shared" si="28"/>
        <v>148</v>
      </c>
      <c r="B149" s="2">
        <f t="shared" si="29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36">
        <v>4.2</v>
      </c>
      <c r="H149" s="5">
        <v>10</v>
      </c>
      <c r="I149" s="41" t="s">
        <v>10</v>
      </c>
      <c r="J149" s="45" t="s">
        <v>17</v>
      </c>
      <c r="K149">
        <v>1141</v>
      </c>
      <c r="L149">
        <f t="shared" si="25"/>
        <v>1</v>
      </c>
      <c r="M149">
        <v>61.54635269622478</v>
      </c>
      <c r="N149">
        <v>62.353456441548573</v>
      </c>
      <c r="O149">
        <f t="shared" si="22"/>
        <v>0</v>
      </c>
      <c r="P149">
        <f t="shared" si="23"/>
        <v>1</v>
      </c>
      <c r="Q149">
        <f t="shared" si="24"/>
        <v>-2.1520000000000001</v>
      </c>
      <c r="R149">
        <v>0</v>
      </c>
      <c r="S149">
        <f t="shared" si="26"/>
        <v>-1.906008209023011</v>
      </c>
      <c r="T149">
        <v>-2.5661525274067376</v>
      </c>
      <c r="U149">
        <f t="shared" si="27"/>
        <v>-0.66014431838372656</v>
      </c>
    </row>
    <row r="150" spans="1:21">
      <c r="A150">
        <f t="shared" si="28"/>
        <v>149</v>
      </c>
      <c r="B150" s="2">
        <f t="shared" si="29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36">
        <v>3.9</v>
      </c>
      <c r="H150" s="5">
        <v>10</v>
      </c>
      <c r="I150" s="41" t="s">
        <v>10</v>
      </c>
      <c r="J150" s="45" t="s">
        <v>14</v>
      </c>
      <c r="K150">
        <v>290</v>
      </c>
      <c r="L150">
        <f t="shared" si="25"/>
        <v>3</v>
      </c>
      <c r="M150">
        <v>107.68058281077444</v>
      </c>
      <c r="N150">
        <v>108.14392222620766</v>
      </c>
      <c r="O150">
        <f t="shared" si="22"/>
        <v>0</v>
      </c>
      <c r="P150">
        <f t="shared" si="23"/>
        <v>1</v>
      </c>
      <c r="Q150">
        <f t="shared" si="24"/>
        <v>-1.5229999999999999</v>
      </c>
      <c r="R150">
        <v>0</v>
      </c>
      <c r="S150">
        <f t="shared" si="26"/>
        <v>-2.260684509050364</v>
      </c>
      <c r="T150">
        <v>-2.6227582224735202</v>
      </c>
      <c r="U150">
        <f t="shared" si="27"/>
        <v>-0.3620737134231562</v>
      </c>
    </row>
    <row r="151" spans="1:21">
      <c r="A151" s="8">
        <f t="shared" si="28"/>
        <v>150</v>
      </c>
      <c r="B151" s="9">
        <f t="shared" si="29"/>
        <v>78</v>
      </c>
      <c r="C151" s="10">
        <v>44176</v>
      </c>
      <c r="D151" s="11">
        <v>0.53548611111182254</v>
      </c>
      <c r="E151" s="12">
        <v>-8.27</v>
      </c>
      <c r="F151" s="12">
        <v>116.53</v>
      </c>
      <c r="G151" s="37">
        <v>3.9</v>
      </c>
      <c r="H151" s="12">
        <v>11</v>
      </c>
      <c r="I151" s="42" t="s">
        <v>10</v>
      </c>
      <c r="J151" s="46" t="s">
        <v>14</v>
      </c>
      <c r="K151">
        <v>290</v>
      </c>
      <c r="L151">
        <f t="shared" si="25"/>
        <v>3</v>
      </c>
      <c r="M151">
        <v>199.64956279833908</v>
      </c>
      <c r="N151">
        <v>199.95236414098218</v>
      </c>
      <c r="O151">
        <f t="shared" si="22"/>
        <v>0</v>
      </c>
      <c r="P151">
        <f t="shared" si="23"/>
        <v>1</v>
      </c>
      <c r="Q151">
        <f t="shared" si="24"/>
        <v>-1.5229999999999999</v>
      </c>
      <c r="R151">
        <v>0</v>
      </c>
      <c r="S151">
        <f t="shared" si="26"/>
        <v>-2.9110746216544436</v>
      </c>
      <c r="T151">
        <v>-4.5293843721982077</v>
      </c>
      <c r="U151">
        <f t="shared" si="27"/>
        <v>-1.618309750543764</v>
      </c>
    </row>
    <row r="152" spans="1:21">
      <c r="A152">
        <f t="shared" si="28"/>
        <v>151</v>
      </c>
      <c r="B152" s="2">
        <f t="shared" si="29"/>
        <v>79</v>
      </c>
      <c r="C152" s="25">
        <v>44274</v>
      </c>
      <c r="D152" s="26">
        <v>0.68978009259444661</v>
      </c>
      <c r="E152" s="27">
        <v>-7.83</v>
      </c>
      <c r="F152" s="27">
        <v>118.78</v>
      </c>
      <c r="G152" s="36">
        <v>4.5</v>
      </c>
      <c r="H152" s="27">
        <v>26</v>
      </c>
      <c r="I152" s="41" t="s">
        <v>10</v>
      </c>
      <c r="J152" s="45" t="s">
        <v>13</v>
      </c>
      <c r="K152">
        <v>386</v>
      </c>
      <c r="L152">
        <f t="shared" si="25"/>
        <v>2</v>
      </c>
      <c r="M152">
        <v>79.768739281944931</v>
      </c>
      <c r="N152">
        <v>83.899057006803744</v>
      </c>
      <c r="O152">
        <f t="shared" si="22"/>
        <v>1</v>
      </c>
      <c r="P152">
        <f t="shared" si="23"/>
        <v>1</v>
      </c>
      <c r="Q152">
        <f t="shared" si="24"/>
        <v>-1.776</v>
      </c>
      <c r="R152">
        <v>0</v>
      </c>
      <c r="S152">
        <f t="shared" si="26"/>
        <v>-1.2333845543747568</v>
      </c>
      <c r="T152">
        <v>-1.1737857088448409</v>
      </c>
      <c r="U152">
        <f t="shared" si="27"/>
        <v>5.95988455299159E-2</v>
      </c>
    </row>
    <row r="153" spans="1:21">
      <c r="A153">
        <f t="shared" si="28"/>
        <v>152</v>
      </c>
      <c r="B153" s="2">
        <f t="shared" si="29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36">
        <v>4.5</v>
      </c>
      <c r="H153" s="5">
        <v>26</v>
      </c>
      <c r="I153" s="41" t="s">
        <v>10</v>
      </c>
      <c r="J153" s="45" t="s">
        <v>19</v>
      </c>
      <c r="K153">
        <v>283</v>
      </c>
      <c r="L153">
        <f t="shared" si="25"/>
        <v>3</v>
      </c>
      <c r="M153">
        <v>168.55202854350387</v>
      </c>
      <c r="N153">
        <v>170.54555498789802</v>
      </c>
      <c r="O153">
        <f t="shared" si="22"/>
        <v>1</v>
      </c>
      <c r="P153">
        <f t="shared" si="23"/>
        <v>1</v>
      </c>
      <c r="Q153">
        <f t="shared" si="24"/>
        <v>-1.5229999999999999</v>
      </c>
      <c r="R153">
        <v>1</v>
      </c>
      <c r="S153">
        <f t="shared" si="26"/>
        <v>-1.74707770368195</v>
      </c>
      <c r="T153">
        <v>-1.7470766738799743</v>
      </c>
      <c r="U153">
        <f t="shared" si="27"/>
        <v>1.0298019756938004E-6</v>
      </c>
    </row>
    <row r="154" spans="1:21">
      <c r="A154" s="8">
        <f t="shared" si="28"/>
        <v>153</v>
      </c>
      <c r="B154" s="9">
        <f t="shared" si="29"/>
        <v>79</v>
      </c>
      <c r="C154" s="10">
        <v>44274</v>
      </c>
      <c r="D154" s="11">
        <v>0.68978009259444661</v>
      </c>
      <c r="E154" s="12">
        <v>-7.83</v>
      </c>
      <c r="F154" s="12">
        <v>118.78</v>
      </c>
      <c r="G154" s="37">
        <v>4.5</v>
      </c>
      <c r="H154" s="12">
        <v>26</v>
      </c>
      <c r="I154" s="42" t="s">
        <v>10</v>
      </c>
      <c r="J154" s="46" t="s">
        <v>17</v>
      </c>
      <c r="K154">
        <v>1141</v>
      </c>
      <c r="L154">
        <f t="shared" si="25"/>
        <v>1</v>
      </c>
      <c r="M154">
        <v>233.7605677111687</v>
      </c>
      <c r="N154">
        <v>235.20204722035879</v>
      </c>
      <c r="O154">
        <f t="shared" si="22"/>
        <v>1</v>
      </c>
      <c r="P154">
        <f t="shared" si="23"/>
        <v>1</v>
      </c>
      <c r="Q154">
        <f t="shared" si="24"/>
        <v>-2.1520000000000001</v>
      </c>
      <c r="R154">
        <v>1</v>
      </c>
      <c r="S154">
        <f t="shared" si="26"/>
        <v>-2.7218108631583275</v>
      </c>
      <c r="T154">
        <v>-3.84038659304561</v>
      </c>
      <c r="U154">
        <f t="shared" si="27"/>
        <v>-1.1185757298872825</v>
      </c>
    </row>
    <row r="155" spans="1:21">
      <c r="A155">
        <f t="shared" si="28"/>
        <v>154</v>
      </c>
      <c r="B155" s="2">
        <f t="shared" si="29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36">
        <v>3.5</v>
      </c>
      <c r="H155" s="5">
        <v>10</v>
      </c>
      <c r="I155" s="41" t="s">
        <v>10</v>
      </c>
      <c r="J155" s="45" t="s">
        <v>14</v>
      </c>
      <c r="K155">
        <v>290</v>
      </c>
      <c r="L155">
        <f t="shared" si="25"/>
        <v>3</v>
      </c>
      <c r="M155">
        <v>103.32560484404641</v>
      </c>
      <c r="N155">
        <v>103.80838413340238</v>
      </c>
      <c r="O155">
        <f t="shared" si="22"/>
        <v>0</v>
      </c>
      <c r="P155">
        <f t="shared" si="23"/>
        <v>1</v>
      </c>
      <c r="Q155">
        <f t="shared" si="24"/>
        <v>-1.5229999999999999</v>
      </c>
      <c r="R155">
        <v>0</v>
      </c>
      <c r="S155">
        <f t="shared" si="26"/>
        <v>-2.734038442810558</v>
      </c>
      <c r="T155">
        <v>-2.4366902708283735</v>
      </c>
      <c r="U155">
        <f t="shared" si="27"/>
        <v>0.29734817198218444</v>
      </c>
    </row>
    <row r="156" spans="1:21">
      <c r="A156" s="13">
        <f t="shared" si="28"/>
        <v>155</v>
      </c>
      <c r="B156" s="14">
        <f t="shared" si="29"/>
        <v>81</v>
      </c>
      <c r="C156" s="32">
        <v>43331</v>
      </c>
      <c r="D156" s="33">
        <v>0.62263425925925919</v>
      </c>
      <c r="E156" s="34">
        <v>-8.27</v>
      </c>
      <c r="F156" s="35">
        <v>116.67</v>
      </c>
      <c r="G156" s="40">
        <v>6.9</v>
      </c>
      <c r="H156" s="39">
        <v>22</v>
      </c>
      <c r="I156" s="44" t="s">
        <v>10</v>
      </c>
      <c r="J156" s="47" t="s">
        <v>17</v>
      </c>
      <c r="K156">
        <v>1141</v>
      </c>
      <c r="L156">
        <f t="shared" si="25"/>
        <v>1</v>
      </c>
      <c r="M156">
        <v>57.090874097075393</v>
      </c>
      <c r="N156">
        <v>61.183068778609936</v>
      </c>
      <c r="O156">
        <f t="shared" si="22"/>
        <v>1</v>
      </c>
      <c r="P156">
        <f t="shared" si="23"/>
        <v>1</v>
      </c>
      <c r="Q156">
        <f t="shared" si="24"/>
        <v>-2.1520000000000001</v>
      </c>
      <c r="R156">
        <v>0</v>
      </c>
      <c r="S156">
        <f t="shared" si="26"/>
        <v>3.1731772729519809</v>
      </c>
      <c r="T156">
        <v>3.972777986579398</v>
      </c>
      <c r="U156">
        <f t="shared" si="27"/>
        <v>0.79960071362741703</v>
      </c>
    </row>
    <row r="157" spans="1:21">
      <c r="A157" s="13">
        <f t="shared" si="28"/>
        <v>156</v>
      </c>
      <c r="B157" s="14">
        <f t="shared" si="29"/>
        <v>81</v>
      </c>
      <c r="C157" s="32">
        <v>43331</v>
      </c>
      <c r="D157" s="33">
        <v>0.62263425925925919</v>
      </c>
      <c r="E157" s="34">
        <v>-8.27</v>
      </c>
      <c r="F157" s="35">
        <v>116.67</v>
      </c>
      <c r="G157" s="40">
        <v>6.9</v>
      </c>
      <c r="H157" s="39">
        <v>22</v>
      </c>
      <c r="I157" s="44" t="s">
        <v>10</v>
      </c>
      <c r="J157" s="47" t="s">
        <v>16</v>
      </c>
      <c r="K157">
        <v>770</v>
      </c>
      <c r="L157">
        <f t="shared" si="25"/>
        <v>1</v>
      </c>
      <c r="M157">
        <v>70.184466740784501</v>
      </c>
      <c r="N157">
        <v>73.551746217804279</v>
      </c>
      <c r="O157">
        <f t="shared" si="22"/>
        <v>1</v>
      </c>
      <c r="P157">
        <f t="shared" si="23"/>
        <v>1</v>
      </c>
      <c r="Q157">
        <f t="shared" si="24"/>
        <v>-2.1520000000000001</v>
      </c>
      <c r="R157">
        <v>1</v>
      </c>
      <c r="S157">
        <f t="shared" si="26"/>
        <v>2.4878075316595281</v>
      </c>
      <c r="T157">
        <v>2.2168440183507503</v>
      </c>
      <c r="U157">
        <f t="shared" si="27"/>
        <v>-0.27096351330877777</v>
      </c>
    </row>
    <row r="158" spans="1:21">
      <c r="A158" s="13"/>
      <c r="B158" s="14"/>
      <c r="C158" s="32"/>
      <c r="D158" s="33"/>
      <c r="E158" s="34"/>
      <c r="F158" s="35"/>
      <c r="G158" s="40"/>
      <c r="H158" s="39"/>
      <c r="I158" s="44"/>
      <c r="J158" s="47"/>
    </row>
    <row r="160" spans="1:21">
      <c r="U160" s="5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0F88-6018-A044-B1C3-67BBBF144FEC}">
  <dimension ref="A1:Z160"/>
  <sheetViews>
    <sheetView topLeftCell="O1" workbookViewId="0">
      <selection activeCell="W8" sqref="W8:W10"/>
    </sheetView>
  </sheetViews>
  <sheetFormatPr baseColWidth="10" defaultColWidth="11" defaultRowHeight="16"/>
  <cols>
    <col min="18" max="18" width="10.33203125" customWidth="1"/>
    <col min="21" max="21" width="11.6640625" bestFit="1" customWidth="1"/>
  </cols>
  <sheetData>
    <row r="1" spans="1:23" ht="28">
      <c r="A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22</v>
      </c>
      <c r="I1" s="1" t="s">
        <v>8</v>
      </c>
      <c r="J1" s="1" t="s">
        <v>12</v>
      </c>
      <c r="K1" s="1" t="s">
        <v>20</v>
      </c>
      <c r="L1" s="1" t="s">
        <v>35</v>
      </c>
      <c r="M1" s="1" t="s">
        <v>21</v>
      </c>
      <c r="N1" s="1" t="s">
        <v>23</v>
      </c>
      <c r="O1" s="48" t="s">
        <v>39</v>
      </c>
      <c r="P1" s="48" t="s">
        <v>40</v>
      </c>
      <c r="Q1" s="48" t="s">
        <v>34</v>
      </c>
      <c r="R1" s="52" t="s">
        <v>38</v>
      </c>
      <c r="S1" s="48" t="s">
        <v>36</v>
      </c>
      <c r="T1" s="48" t="s">
        <v>37</v>
      </c>
      <c r="U1" s="48" t="s">
        <v>44</v>
      </c>
      <c r="V1" s="49" t="s">
        <v>25</v>
      </c>
    </row>
    <row r="2" spans="1:23">
      <c r="A2">
        <v>1</v>
      </c>
      <c r="B2" s="2">
        <v>1</v>
      </c>
      <c r="C2" s="3">
        <v>42582</v>
      </c>
      <c r="D2" s="4">
        <v>0.98613425925925924</v>
      </c>
      <c r="E2" s="5">
        <v>-8.24</v>
      </c>
      <c r="F2" s="5">
        <v>117.87</v>
      </c>
      <c r="G2" s="36">
        <v>5.5</v>
      </c>
      <c r="H2" s="5">
        <v>22</v>
      </c>
      <c r="I2" s="41" t="s">
        <v>9</v>
      </c>
      <c r="J2" s="45" t="s">
        <v>13</v>
      </c>
      <c r="K2">
        <v>386</v>
      </c>
      <c r="L2">
        <f>IF(K2&gt;600,1,IF(AND(K2&lt;=600,K2&gt;300),2,3))</f>
        <v>2</v>
      </c>
      <c r="M2">
        <v>97.42375977291556</v>
      </c>
      <c r="N2">
        <v>99.87686903528143</v>
      </c>
      <c r="O2">
        <f t="shared" ref="O2:O33" si="0">IF(H2&lt;15,0,1)</f>
        <v>1</v>
      </c>
      <c r="P2">
        <f t="shared" ref="P2:P33" si="1">IF(I2="reverse",1,0)</f>
        <v>0</v>
      </c>
      <c r="Q2">
        <f t="shared" ref="Q2:Q33" si="2">IF(L2=1,$W$8,IF(L2=2,$W$9,$W$10))</f>
        <v>-5.0890000000000004</v>
      </c>
      <c r="R2">
        <v>1</v>
      </c>
      <c r="S2">
        <f>$W$2*G2+$W$3*N2-LN(N2+($W$4*EXP($W$5*G2)))+$W$6*(H2-15)*O2+$W$7*P2+Q2</f>
        <v>-0.12913229179383734</v>
      </c>
      <c r="T2">
        <v>-0.62722159119743115</v>
      </c>
      <c r="U2">
        <f>T2-S2</f>
        <v>-0.49808929940359381</v>
      </c>
      <c r="V2" s="53" t="s">
        <v>26</v>
      </c>
      <c r="W2">
        <v>1.7589999999999999</v>
      </c>
    </row>
    <row r="3" spans="1:23">
      <c r="A3">
        <f>A2+1</f>
        <v>2</v>
      </c>
      <c r="B3" s="2">
        <v>1</v>
      </c>
      <c r="C3" s="3">
        <v>42582</v>
      </c>
      <c r="D3" s="4">
        <v>0.98613425925925924</v>
      </c>
      <c r="E3" s="5">
        <v>-8.24</v>
      </c>
      <c r="F3" s="5">
        <v>117.87</v>
      </c>
      <c r="G3" s="36">
        <v>5.5</v>
      </c>
      <c r="H3" s="5">
        <v>22</v>
      </c>
      <c r="I3" s="41" t="s">
        <v>9</v>
      </c>
      <c r="J3" s="45" t="s">
        <v>14</v>
      </c>
      <c r="K3">
        <v>290</v>
      </c>
      <c r="L3">
        <f t="shared" ref="L3:L66" si="3">IF(K3&gt;600,1,IF(AND(K3&lt;=600,K3&gt;300),2,3))</f>
        <v>3</v>
      </c>
      <c r="M3">
        <v>57.079414195557547</v>
      </c>
      <c r="N3">
        <v>61.172375504863439</v>
      </c>
      <c r="O3">
        <f t="shared" si="0"/>
        <v>1</v>
      </c>
      <c r="P3">
        <f t="shared" si="1"/>
        <v>0</v>
      </c>
      <c r="Q3">
        <f t="shared" si="2"/>
        <v>-4.8929999999999998</v>
      </c>
      <c r="R3">
        <v>1</v>
      </c>
      <c r="S3">
        <f t="shared" ref="S3:S66" si="4">$W$2*G3+$W$3*N3-LN(N3+($W$4*EXP($W$5*G3)))+$W$6*(H3-15)*O3+$W$7*P3+Q3</f>
        <v>0.60838082114972014</v>
      </c>
      <c r="T3">
        <v>0.73482896656552688</v>
      </c>
      <c r="U3">
        <f t="shared" ref="U3:U66" si="5">T3-S3</f>
        <v>0.12644814541580673</v>
      </c>
      <c r="V3" s="53" t="s">
        <v>27</v>
      </c>
      <c r="W3">
        <v>-1.47E-3</v>
      </c>
    </row>
    <row r="4" spans="1:23">
      <c r="A4">
        <f t="shared" ref="A4:A67" si="6">A3+1</f>
        <v>3</v>
      </c>
      <c r="B4" s="2">
        <v>1</v>
      </c>
      <c r="C4" s="3">
        <v>42582</v>
      </c>
      <c r="D4" s="4">
        <v>0.98613425925925924</v>
      </c>
      <c r="E4" s="5">
        <v>-8.24</v>
      </c>
      <c r="F4" s="5">
        <v>117.87</v>
      </c>
      <c r="G4" s="36">
        <v>5.5</v>
      </c>
      <c r="H4" s="5">
        <v>22</v>
      </c>
      <c r="I4" s="41" t="s">
        <v>9</v>
      </c>
      <c r="J4" s="45" t="s">
        <v>15</v>
      </c>
      <c r="K4">
        <v>210</v>
      </c>
      <c r="L4">
        <f t="shared" si="3"/>
        <v>3</v>
      </c>
      <c r="M4">
        <v>199.93485105406191</v>
      </c>
      <c r="N4">
        <v>201.14160351854093</v>
      </c>
      <c r="O4">
        <f t="shared" si="0"/>
        <v>1</v>
      </c>
      <c r="P4">
        <f t="shared" si="1"/>
        <v>0</v>
      </c>
      <c r="Q4">
        <f t="shared" si="2"/>
        <v>-4.8929999999999998</v>
      </c>
      <c r="R4">
        <v>1</v>
      </c>
      <c r="S4">
        <f t="shared" si="4"/>
        <v>-0.77756402962953075</v>
      </c>
      <c r="T4">
        <v>-1.5873089753853367</v>
      </c>
      <c r="U4">
        <f t="shared" si="5"/>
        <v>-0.80974494575580591</v>
      </c>
      <c r="V4" s="53" t="s">
        <v>28</v>
      </c>
      <c r="W4">
        <v>3.2000000000000002E-3</v>
      </c>
    </row>
    <row r="5" spans="1:23">
      <c r="A5">
        <f t="shared" si="6"/>
        <v>4</v>
      </c>
      <c r="B5" s="2">
        <v>1</v>
      </c>
      <c r="C5" s="6">
        <v>42582</v>
      </c>
      <c r="D5" s="7">
        <v>0.98613425925925924</v>
      </c>
      <c r="E5" s="5">
        <v>-8.24</v>
      </c>
      <c r="F5" s="5">
        <v>117.87</v>
      </c>
      <c r="G5" s="36">
        <v>5.5</v>
      </c>
      <c r="H5" s="5">
        <v>22</v>
      </c>
      <c r="I5" s="2" t="s">
        <v>9</v>
      </c>
      <c r="J5" s="45" t="s">
        <v>16</v>
      </c>
      <c r="K5">
        <v>770</v>
      </c>
      <c r="L5">
        <f t="shared" si="3"/>
        <v>1</v>
      </c>
      <c r="M5">
        <v>186.18385881689272</v>
      </c>
      <c r="N5">
        <v>187.47914359722429</v>
      </c>
      <c r="O5">
        <f t="shared" si="0"/>
        <v>1</v>
      </c>
      <c r="P5">
        <f t="shared" si="1"/>
        <v>0</v>
      </c>
      <c r="Q5">
        <f t="shared" si="2"/>
        <v>-5.431</v>
      </c>
      <c r="R5">
        <v>0</v>
      </c>
      <c r="S5">
        <f t="shared" si="4"/>
        <v>-1.2254626696432096</v>
      </c>
      <c r="T5">
        <v>-2.3571061449187547</v>
      </c>
      <c r="U5">
        <f t="shared" si="5"/>
        <v>-1.1316434752755451</v>
      </c>
      <c r="V5" s="53" t="s">
        <v>30</v>
      </c>
      <c r="W5">
        <v>1.0249999999999999</v>
      </c>
    </row>
    <row r="6" spans="1:23">
      <c r="A6">
        <f t="shared" si="6"/>
        <v>5</v>
      </c>
      <c r="B6" s="2">
        <v>1</v>
      </c>
      <c r="C6" s="3">
        <v>42582</v>
      </c>
      <c r="D6" s="4">
        <v>0.98613425925925924</v>
      </c>
      <c r="E6" s="5">
        <v>-8.24</v>
      </c>
      <c r="F6" s="5">
        <v>117.87</v>
      </c>
      <c r="G6" s="36">
        <v>5.5</v>
      </c>
      <c r="H6" s="5">
        <v>22</v>
      </c>
      <c r="I6" s="41" t="s">
        <v>9</v>
      </c>
      <c r="J6" s="45" t="s">
        <v>17</v>
      </c>
      <c r="K6">
        <v>1141</v>
      </c>
      <c r="L6">
        <f t="shared" si="3"/>
        <v>1</v>
      </c>
      <c r="M6">
        <v>122.92739866371562</v>
      </c>
      <c r="N6">
        <v>124.88052427111312</v>
      </c>
      <c r="O6">
        <f t="shared" si="0"/>
        <v>1</v>
      </c>
      <c r="P6">
        <f t="shared" si="1"/>
        <v>0</v>
      </c>
      <c r="Q6">
        <f t="shared" si="2"/>
        <v>-5.431</v>
      </c>
      <c r="R6">
        <v>0</v>
      </c>
      <c r="S6">
        <f t="shared" si="4"/>
        <v>-0.72952042019489038</v>
      </c>
      <c r="T6">
        <v>-1.3885600461215519</v>
      </c>
      <c r="U6">
        <f t="shared" si="5"/>
        <v>-0.65903962592666154</v>
      </c>
      <c r="V6" s="53" t="s">
        <v>29</v>
      </c>
      <c r="W6">
        <v>6.4400000000000004E-3</v>
      </c>
    </row>
    <row r="7" spans="1:23">
      <c r="A7">
        <f t="shared" si="6"/>
        <v>6</v>
      </c>
      <c r="B7" s="2">
        <f t="shared" ref="B7:B70" si="7">IF(D7=D6,B6,B6+1)</f>
        <v>2</v>
      </c>
      <c r="C7" s="3">
        <v>42591</v>
      </c>
      <c r="D7" s="4">
        <v>0.65111111111036735</v>
      </c>
      <c r="E7" s="5">
        <v>-8.19</v>
      </c>
      <c r="F7" s="5">
        <v>115.69</v>
      </c>
      <c r="G7" s="36">
        <v>4.4000000000000004</v>
      </c>
      <c r="H7" s="5">
        <v>11</v>
      </c>
      <c r="I7" s="41" t="s">
        <v>9</v>
      </c>
      <c r="J7" s="45" t="s">
        <v>18</v>
      </c>
      <c r="K7">
        <v>612</v>
      </c>
      <c r="L7">
        <f t="shared" si="3"/>
        <v>1</v>
      </c>
      <c r="M7">
        <v>51.849622503718564</v>
      </c>
      <c r="N7">
        <v>53.00361642169446</v>
      </c>
      <c r="O7">
        <f t="shared" si="0"/>
        <v>0</v>
      </c>
      <c r="P7">
        <f t="shared" si="1"/>
        <v>0</v>
      </c>
      <c r="Q7">
        <f t="shared" si="2"/>
        <v>-5.431</v>
      </c>
      <c r="R7">
        <v>0</v>
      </c>
      <c r="S7">
        <f t="shared" si="4"/>
        <v>-1.7451496954154875</v>
      </c>
      <c r="T7">
        <v>-3.0582534961519205</v>
      </c>
      <c r="U7">
        <f t="shared" si="5"/>
        <v>-1.3131038007364331</v>
      </c>
      <c r="V7" s="53" t="s">
        <v>24</v>
      </c>
      <c r="W7">
        <v>0.307</v>
      </c>
    </row>
    <row r="8" spans="1:23">
      <c r="A8">
        <f t="shared" si="6"/>
        <v>7</v>
      </c>
      <c r="B8" s="2">
        <f t="shared" si="7"/>
        <v>2</v>
      </c>
      <c r="C8" s="3">
        <v>42591</v>
      </c>
      <c r="D8" s="4">
        <v>0.65111111111036735</v>
      </c>
      <c r="E8" s="5">
        <v>-8.19</v>
      </c>
      <c r="F8" s="5">
        <v>115.69</v>
      </c>
      <c r="G8" s="36">
        <v>4.4000000000000004</v>
      </c>
      <c r="H8" s="5">
        <v>11</v>
      </c>
      <c r="I8" s="41" t="s">
        <v>9</v>
      </c>
      <c r="J8" s="45" t="s">
        <v>15</v>
      </c>
      <c r="K8">
        <v>210</v>
      </c>
      <c r="L8">
        <f t="shared" si="3"/>
        <v>3</v>
      </c>
      <c r="M8">
        <v>61.668145708230284</v>
      </c>
      <c r="N8">
        <v>62.641521334427388</v>
      </c>
      <c r="O8">
        <f t="shared" si="0"/>
        <v>0</v>
      </c>
      <c r="P8">
        <f t="shared" si="1"/>
        <v>0</v>
      </c>
      <c r="Q8">
        <f t="shared" si="2"/>
        <v>-4.8929999999999998</v>
      </c>
      <c r="R8">
        <v>0</v>
      </c>
      <c r="S8">
        <f t="shared" si="4"/>
        <v>-1.3875453014221941</v>
      </c>
      <c r="T8">
        <v>-3.6903342968204411</v>
      </c>
      <c r="U8">
        <f t="shared" si="5"/>
        <v>-2.302788995398247</v>
      </c>
      <c r="V8" s="53" t="s">
        <v>31</v>
      </c>
      <c r="W8" s="50">
        <v>-5.431</v>
      </c>
    </row>
    <row r="9" spans="1:23">
      <c r="A9">
        <f t="shared" si="6"/>
        <v>8</v>
      </c>
      <c r="B9" s="2">
        <f t="shared" si="7"/>
        <v>2</v>
      </c>
      <c r="C9" s="3">
        <v>42591</v>
      </c>
      <c r="D9" s="4">
        <v>0.65111111111036735</v>
      </c>
      <c r="E9" s="5">
        <v>-8.19</v>
      </c>
      <c r="F9" s="5">
        <v>115.69</v>
      </c>
      <c r="G9" s="36">
        <v>4.4000000000000004</v>
      </c>
      <c r="H9" s="5">
        <v>11</v>
      </c>
      <c r="I9" s="41" t="s">
        <v>9</v>
      </c>
      <c r="J9" s="45" t="s">
        <v>17</v>
      </c>
      <c r="K9">
        <v>1141</v>
      </c>
      <c r="L9">
        <f t="shared" si="3"/>
        <v>1</v>
      </c>
      <c r="M9">
        <v>145.7603890243447</v>
      </c>
      <c r="N9">
        <v>146.17486448951581</v>
      </c>
      <c r="O9">
        <f t="shared" si="0"/>
        <v>0</v>
      </c>
      <c r="P9">
        <f t="shared" si="1"/>
        <v>0</v>
      </c>
      <c r="Q9">
        <f t="shared" si="2"/>
        <v>-5.431</v>
      </c>
      <c r="R9">
        <v>1</v>
      </c>
      <c r="S9">
        <f t="shared" si="4"/>
        <v>-2.8930691025981652</v>
      </c>
      <c r="T9">
        <v>-5.1355201757685238</v>
      </c>
      <c r="U9">
        <f t="shared" si="5"/>
        <v>-2.2424510731703586</v>
      </c>
      <c r="V9" s="53" t="s">
        <v>32</v>
      </c>
      <c r="W9" s="50">
        <v>-5.0890000000000004</v>
      </c>
    </row>
    <row r="10" spans="1:23">
      <c r="A10">
        <f t="shared" si="6"/>
        <v>9</v>
      </c>
      <c r="B10" s="2">
        <f t="shared" si="7"/>
        <v>3</v>
      </c>
      <c r="C10" s="3">
        <v>42869</v>
      </c>
      <c r="D10" s="4">
        <v>0.77026620370452292</v>
      </c>
      <c r="E10" s="5">
        <v>-8.1199999999999992</v>
      </c>
      <c r="F10" s="5">
        <v>115.32</v>
      </c>
      <c r="G10" s="36">
        <v>3.9</v>
      </c>
      <c r="H10" s="5">
        <v>10</v>
      </c>
      <c r="I10" s="41" t="s">
        <v>9</v>
      </c>
      <c r="J10" s="45" t="s">
        <v>18</v>
      </c>
      <c r="K10">
        <v>612</v>
      </c>
      <c r="L10">
        <f t="shared" si="3"/>
        <v>1</v>
      </c>
      <c r="M10">
        <v>92.404790052454644</v>
      </c>
      <c r="N10">
        <v>92.944312492148882</v>
      </c>
      <c r="O10">
        <f t="shared" si="0"/>
        <v>0</v>
      </c>
      <c r="P10">
        <f t="shared" si="1"/>
        <v>0</v>
      </c>
      <c r="Q10">
        <f t="shared" si="2"/>
        <v>-5.431</v>
      </c>
      <c r="R10">
        <v>0</v>
      </c>
      <c r="S10">
        <f t="shared" si="4"/>
        <v>-3.2414019850509632</v>
      </c>
      <c r="T10">
        <v>-5.3382527298226057</v>
      </c>
      <c r="U10">
        <f t="shared" si="5"/>
        <v>-2.0968507447716425</v>
      </c>
      <c r="V10" s="53" t="s">
        <v>33</v>
      </c>
      <c r="W10" s="50">
        <v>-4.8929999999999998</v>
      </c>
    </row>
    <row r="11" spans="1:23">
      <c r="A11">
        <f t="shared" si="6"/>
        <v>10</v>
      </c>
      <c r="B11" s="2">
        <f t="shared" si="7"/>
        <v>3</v>
      </c>
      <c r="C11" s="3">
        <v>42869</v>
      </c>
      <c r="D11" s="4">
        <v>0.77026620370452292</v>
      </c>
      <c r="E11" s="5">
        <v>-8.1199999999999992</v>
      </c>
      <c r="F11" s="5">
        <v>115.32</v>
      </c>
      <c r="G11" s="36">
        <v>3.9</v>
      </c>
      <c r="H11" s="5">
        <v>10</v>
      </c>
      <c r="I11" s="41" t="s">
        <v>9</v>
      </c>
      <c r="J11" s="45" t="s">
        <v>15</v>
      </c>
      <c r="K11">
        <v>210</v>
      </c>
      <c r="L11">
        <f t="shared" si="3"/>
        <v>3</v>
      </c>
      <c r="M11">
        <v>99.718584231845142</v>
      </c>
      <c r="N11">
        <v>100.21874096796265</v>
      </c>
      <c r="O11">
        <f t="shared" si="0"/>
        <v>0</v>
      </c>
      <c r="P11">
        <f t="shared" si="1"/>
        <v>0</v>
      </c>
      <c r="Q11">
        <f t="shared" si="2"/>
        <v>-4.8929999999999998</v>
      </c>
      <c r="R11">
        <v>0</v>
      </c>
      <c r="S11">
        <f t="shared" si="4"/>
        <v>-2.7893142202820256</v>
      </c>
      <c r="T11">
        <v>-6.2341324644366329</v>
      </c>
      <c r="U11">
        <f t="shared" si="5"/>
        <v>-3.4448182441546074</v>
      </c>
      <c r="V11" t="s">
        <v>41</v>
      </c>
      <c r="W11" s="55">
        <v>0</v>
      </c>
    </row>
    <row r="12" spans="1:23">
      <c r="A12">
        <f t="shared" si="6"/>
        <v>11</v>
      </c>
      <c r="B12" s="2">
        <f t="shared" si="7"/>
        <v>3</v>
      </c>
      <c r="C12" s="3">
        <v>42869</v>
      </c>
      <c r="D12" s="4">
        <v>0.77026620370452292</v>
      </c>
      <c r="E12" s="5">
        <v>-8.1199999999999992</v>
      </c>
      <c r="F12" s="5">
        <v>115.32</v>
      </c>
      <c r="G12" s="36">
        <v>3.9</v>
      </c>
      <c r="H12" s="5">
        <v>10</v>
      </c>
      <c r="I12" s="41" t="s">
        <v>9</v>
      </c>
      <c r="J12" s="45" t="s">
        <v>17</v>
      </c>
      <c r="K12">
        <v>1141</v>
      </c>
      <c r="L12">
        <f t="shared" si="3"/>
        <v>1</v>
      </c>
      <c r="M12">
        <v>186.63118908550243</v>
      </c>
      <c r="N12">
        <v>186.89890513180796</v>
      </c>
      <c r="O12">
        <f t="shared" si="0"/>
        <v>0</v>
      </c>
      <c r="P12">
        <f t="shared" si="1"/>
        <v>0</v>
      </c>
      <c r="Q12">
        <f t="shared" si="2"/>
        <v>-5.431</v>
      </c>
      <c r="R12">
        <v>1</v>
      </c>
      <c r="S12">
        <f t="shared" si="4"/>
        <v>-4.0771412836325451</v>
      </c>
      <c r="T12">
        <v>-6.5807060547166056</v>
      </c>
      <c r="U12">
        <f t="shared" si="5"/>
        <v>-2.5035647710840605</v>
      </c>
      <c r="V12" t="s">
        <v>42</v>
      </c>
      <c r="W12" s="55">
        <v>0</v>
      </c>
    </row>
    <row r="13" spans="1:23">
      <c r="A13">
        <f t="shared" si="6"/>
        <v>12</v>
      </c>
      <c r="B13" s="2">
        <f>IF(D13=D12,B12,B12+1)</f>
        <v>4</v>
      </c>
      <c r="C13" s="3">
        <v>42897</v>
      </c>
      <c r="D13" s="4">
        <v>0.24364583333226619</v>
      </c>
      <c r="E13" s="5">
        <v>-8.35</v>
      </c>
      <c r="F13" s="5">
        <v>118.04</v>
      </c>
      <c r="G13" s="36">
        <v>4</v>
      </c>
      <c r="H13" s="5">
        <v>24</v>
      </c>
      <c r="I13" s="41" t="s">
        <v>9</v>
      </c>
      <c r="J13" s="45" t="s">
        <v>19</v>
      </c>
      <c r="K13">
        <v>283</v>
      </c>
      <c r="L13">
        <f t="shared" si="3"/>
        <v>3</v>
      </c>
      <c r="M13">
        <v>71.326978734067708</v>
      </c>
      <c r="N13">
        <v>75.256480753023169</v>
      </c>
      <c r="O13">
        <f t="shared" si="0"/>
        <v>1</v>
      </c>
      <c r="P13">
        <f t="shared" si="1"/>
        <v>0</v>
      </c>
      <c r="Q13">
        <f t="shared" si="2"/>
        <v>-4.8929999999999998</v>
      </c>
      <c r="R13">
        <v>0</v>
      </c>
      <c r="S13">
        <f t="shared" si="4"/>
        <v>-2.2331315084364758</v>
      </c>
      <c r="T13">
        <v>-4.6886112377574749</v>
      </c>
      <c r="U13">
        <f t="shared" si="5"/>
        <v>-2.4554797293209991</v>
      </c>
      <c r="V13" t="s">
        <v>43</v>
      </c>
      <c r="W13" s="55">
        <v>0</v>
      </c>
    </row>
    <row r="14" spans="1:23">
      <c r="A14" s="8">
        <f t="shared" si="6"/>
        <v>13</v>
      </c>
      <c r="B14" s="9">
        <f t="shared" si="7"/>
        <v>5</v>
      </c>
      <c r="C14" s="10">
        <v>42912</v>
      </c>
      <c r="D14" s="11" t="s">
        <v>4</v>
      </c>
      <c r="E14" s="12">
        <v>-8.44</v>
      </c>
      <c r="F14" s="12">
        <v>117.26</v>
      </c>
      <c r="G14" s="37">
        <v>3.8</v>
      </c>
      <c r="H14" s="12">
        <v>10</v>
      </c>
      <c r="I14" s="42" t="s">
        <v>9</v>
      </c>
      <c r="J14" s="46" t="s">
        <v>19</v>
      </c>
      <c r="K14">
        <v>283</v>
      </c>
      <c r="L14">
        <f t="shared" si="3"/>
        <v>3</v>
      </c>
      <c r="M14">
        <v>17.815188989454146</v>
      </c>
      <c r="N14">
        <v>20.429903541866473</v>
      </c>
      <c r="O14">
        <f t="shared" si="0"/>
        <v>0</v>
      </c>
      <c r="P14">
        <f t="shared" si="1"/>
        <v>0</v>
      </c>
      <c r="Q14">
        <f t="shared" si="2"/>
        <v>-4.8929999999999998</v>
      </c>
      <c r="R14">
        <v>0</v>
      </c>
      <c r="S14">
        <f t="shared" si="4"/>
        <v>-1.2635016231326937</v>
      </c>
      <c r="T14">
        <v>-4.7118712455749217</v>
      </c>
      <c r="U14">
        <f t="shared" si="5"/>
        <v>-3.448369622442228</v>
      </c>
    </row>
    <row r="15" spans="1:23">
      <c r="A15">
        <f t="shared" si="6"/>
        <v>14</v>
      </c>
      <c r="B15" s="2">
        <f t="shared" si="7"/>
        <v>6</v>
      </c>
      <c r="C15" s="3">
        <v>43130</v>
      </c>
      <c r="D15" s="4">
        <v>3.8599537037037036E-2</v>
      </c>
      <c r="E15" s="5">
        <v>-7.89</v>
      </c>
      <c r="F15" s="5">
        <v>118.8</v>
      </c>
      <c r="G15" s="36">
        <v>5.0999999999999996</v>
      </c>
      <c r="H15" s="5">
        <v>30</v>
      </c>
      <c r="I15" s="41" t="s">
        <v>10</v>
      </c>
      <c r="J15" s="45" t="s">
        <v>13</v>
      </c>
      <c r="K15">
        <v>386</v>
      </c>
      <c r="L15">
        <f t="shared" si="3"/>
        <v>2</v>
      </c>
      <c r="M15">
        <v>73.482911519556041</v>
      </c>
      <c r="N15">
        <v>79.370890667743566</v>
      </c>
      <c r="O15">
        <f t="shared" si="0"/>
        <v>1</v>
      </c>
      <c r="P15">
        <f t="shared" si="1"/>
        <v>1</v>
      </c>
      <c r="Q15">
        <f t="shared" si="2"/>
        <v>-5.0890000000000004</v>
      </c>
      <c r="R15">
        <v>0</v>
      </c>
      <c r="S15">
        <f t="shared" si="4"/>
        <v>-0.2127909490866351</v>
      </c>
      <c r="T15">
        <v>-2.0680986107918589</v>
      </c>
      <c r="U15">
        <f t="shared" si="5"/>
        <v>-1.8553076617052238</v>
      </c>
    </row>
    <row r="16" spans="1:23">
      <c r="A16">
        <f t="shared" si="6"/>
        <v>15</v>
      </c>
      <c r="B16" s="2">
        <f t="shared" si="7"/>
        <v>6</v>
      </c>
      <c r="C16" s="3">
        <v>43130</v>
      </c>
      <c r="D16" s="4">
        <v>3.8599537037037036E-2</v>
      </c>
      <c r="E16" s="5">
        <v>-7.89</v>
      </c>
      <c r="F16" s="5">
        <v>118.8</v>
      </c>
      <c r="G16" s="36">
        <v>5.0999999999999996</v>
      </c>
      <c r="H16" s="5">
        <v>30</v>
      </c>
      <c r="I16" s="41" t="s">
        <v>10</v>
      </c>
      <c r="J16" s="45" t="s">
        <v>14</v>
      </c>
      <c r="K16">
        <v>290</v>
      </c>
      <c r="L16">
        <f t="shared" si="3"/>
        <v>3</v>
      </c>
      <c r="M16">
        <v>86.954160124792679</v>
      </c>
      <c r="N16">
        <v>91.983835335389699</v>
      </c>
      <c r="O16">
        <f t="shared" si="0"/>
        <v>1</v>
      </c>
      <c r="P16">
        <f t="shared" si="1"/>
        <v>1</v>
      </c>
      <c r="Q16">
        <f t="shared" si="2"/>
        <v>-4.8929999999999998</v>
      </c>
      <c r="R16">
        <v>0</v>
      </c>
      <c r="S16">
        <f t="shared" si="4"/>
        <v>-0.18179023583351217</v>
      </c>
      <c r="T16">
        <v>-2.1507048299699401</v>
      </c>
      <c r="U16">
        <f t="shared" si="5"/>
        <v>-1.9689145941364279</v>
      </c>
    </row>
    <row r="17" spans="1:26">
      <c r="A17">
        <f t="shared" si="6"/>
        <v>16</v>
      </c>
      <c r="B17" s="2">
        <f t="shared" si="7"/>
        <v>6</v>
      </c>
      <c r="C17" s="3">
        <v>43130</v>
      </c>
      <c r="D17" s="4">
        <v>3.8599537037037036E-2</v>
      </c>
      <c r="E17" s="5">
        <v>-7.89</v>
      </c>
      <c r="F17" s="5">
        <v>118.8</v>
      </c>
      <c r="G17" s="36">
        <v>5.0999999999999996</v>
      </c>
      <c r="H17" s="5">
        <v>30</v>
      </c>
      <c r="I17" s="41" t="s">
        <v>10</v>
      </c>
      <c r="J17" s="45" t="s">
        <v>19</v>
      </c>
      <c r="K17">
        <v>283</v>
      </c>
      <c r="L17">
        <f t="shared" si="3"/>
        <v>3</v>
      </c>
      <c r="M17">
        <v>167.80782469041785</v>
      </c>
      <c r="N17">
        <v>170.4683725132906</v>
      </c>
      <c r="O17">
        <f t="shared" si="0"/>
        <v>1</v>
      </c>
      <c r="P17">
        <f t="shared" si="1"/>
        <v>1</v>
      </c>
      <c r="Q17">
        <f t="shared" si="2"/>
        <v>-4.8929999999999998</v>
      </c>
      <c r="R17">
        <v>1</v>
      </c>
      <c r="S17">
        <f t="shared" si="4"/>
        <v>-0.91112986996226031</v>
      </c>
      <c r="T17">
        <v>-3.7189135037404153</v>
      </c>
      <c r="U17">
        <f t="shared" si="5"/>
        <v>-2.807783633778155</v>
      </c>
    </row>
    <row r="18" spans="1:26">
      <c r="A18">
        <f t="shared" si="6"/>
        <v>17</v>
      </c>
      <c r="B18" s="2">
        <f t="shared" si="7"/>
        <v>6</v>
      </c>
      <c r="C18" s="3">
        <v>43130</v>
      </c>
      <c r="D18" s="4">
        <v>3.8599537037037036E-2</v>
      </c>
      <c r="E18" s="5">
        <v>-7.89</v>
      </c>
      <c r="F18" s="5">
        <v>118.8</v>
      </c>
      <c r="G18" s="36">
        <v>5.0999999999999996</v>
      </c>
      <c r="H18" s="5">
        <v>30</v>
      </c>
      <c r="I18" s="41" t="s">
        <v>10</v>
      </c>
      <c r="J18" s="45" t="s">
        <v>17</v>
      </c>
      <c r="K18">
        <v>1141</v>
      </c>
      <c r="L18">
        <f t="shared" si="3"/>
        <v>1</v>
      </c>
      <c r="M18">
        <v>232.99229188908313</v>
      </c>
      <c r="N18">
        <v>234.91574676834185</v>
      </c>
      <c r="O18">
        <f t="shared" si="0"/>
        <v>1</v>
      </c>
      <c r="P18">
        <f t="shared" si="1"/>
        <v>1</v>
      </c>
      <c r="Q18">
        <f t="shared" si="2"/>
        <v>-5.431</v>
      </c>
      <c r="R18">
        <v>1</v>
      </c>
      <c r="S18">
        <f t="shared" si="4"/>
        <v>-1.8635879782262057</v>
      </c>
      <c r="T18">
        <v>-5.0828399179396104</v>
      </c>
      <c r="U18">
        <f t="shared" si="5"/>
        <v>-3.2192519397134047</v>
      </c>
    </row>
    <row r="19" spans="1:26">
      <c r="A19">
        <f t="shared" si="6"/>
        <v>18</v>
      </c>
      <c r="B19" s="2">
        <f t="shared" si="7"/>
        <v>7</v>
      </c>
      <c r="C19" s="3">
        <v>43130</v>
      </c>
      <c r="D19" s="4">
        <v>8.3715277777777777E-2</v>
      </c>
      <c r="E19" s="5">
        <v>-7.9</v>
      </c>
      <c r="F19" s="5">
        <v>118.82</v>
      </c>
      <c r="G19" s="36">
        <v>4.9000000000000004</v>
      </c>
      <c r="H19" s="5">
        <v>17</v>
      </c>
      <c r="I19" s="41" t="s">
        <v>10</v>
      </c>
      <c r="J19" s="45" t="s">
        <v>14</v>
      </c>
      <c r="K19">
        <v>290</v>
      </c>
      <c r="L19">
        <f t="shared" si="3"/>
        <v>3</v>
      </c>
      <c r="M19">
        <v>87.504747432513781</v>
      </c>
      <c r="N19">
        <v>89.140792139334437</v>
      </c>
      <c r="O19">
        <f t="shared" si="0"/>
        <v>1</v>
      </c>
      <c r="P19">
        <f t="shared" si="1"/>
        <v>1</v>
      </c>
      <c r="Q19">
        <f t="shared" si="2"/>
        <v>-4.8929999999999998</v>
      </c>
      <c r="R19">
        <v>0</v>
      </c>
      <c r="S19">
        <f t="shared" si="4"/>
        <v>-0.58070823524045778</v>
      </c>
      <c r="T19">
        <v>-0.83248589036142284</v>
      </c>
      <c r="U19">
        <f t="shared" si="5"/>
        <v>-0.25177765512096506</v>
      </c>
    </row>
    <row r="20" spans="1:26">
      <c r="A20" s="8">
        <f t="shared" si="6"/>
        <v>19</v>
      </c>
      <c r="B20" s="9">
        <f t="shared" si="7"/>
        <v>7</v>
      </c>
      <c r="C20" s="10">
        <v>43130</v>
      </c>
      <c r="D20" s="11">
        <v>8.3715277777777777E-2</v>
      </c>
      <c r="E20" s="12">
        <v>-7.9</v>
      </c>
      <c r="F20" s="12">
        <v>118.82</v>
      </c>
      <c r="G20" s="37">
        <v>4.9000000000000004</v>
      </c>
      <c r="H20" s="12">
        <v>17</v>
      </c>
      <c r="I20" s="42" t="s">
        <v>10</v>
      </c>
      <c r="J20" s="46" t="s">
        <v>17</v>
      </c>
      <c r="K20">
        <v>1141</v>
      </c>
      <c r="L20">
        <f t="shared" si="3"/>
        <v>1</v>
      </c>
      <c r="M20">
        <v>234.58300285380335</v>
      </c>
      <c r="N20">
        <v>235.198182875437</v>
      </c>
      <c r="O20">
        <f t="shared" si="0"/>
        <v>1</v>
      </c>
      <c r="P20">
        <f t="shared" si="1"/>
        <v>1</v>
      </c>
      <c r="Q20">
        <f t="shared" si="2"/>
        <v>-5.431</v>
      </c>
      <c r="R20">
        <v>1</v>
      </c>
      <c r="S20">
        <f t="shared" si="4"/>
        <v>-2.300252879559372</v>
      </c>
      <c r="T20">
        <v>-3.9012350605343697</v>
      </c>
      <c r="U20">
        <f t="shared" si="5"/>
        <v>-1.6009821809749978</v>
      </c>
    </row>
    <row r="21" spans="1:26">
      <c r="A21" s="8">
        <f t="shared" si="6"/>
        <v>20</v>
      </c>
      <c r="B21" s="9">
        <f t="shared" si="7"/>
        <v>8</v>
      </c>
      <c r="C21" s="10">
        <v>43133</v>
      </c>
      <c r="D21" s="11">
        <v>0.24946759259182727</v>
      </c>
      <c r="E21" s="12">
        <v>-7.98</v>
      </c>
      <c r="F21" s="12">
        <v>115.88</v>
      </c>
      <c r="G21" s="37">
        <v>4.7</v>
      </c>
      <c r="H21" s="12">
        <v>27</v>
      </c>
      <c r="I21" s="42" t="s">
        <v>9</v>
      </c>
      <c r="J21" s="46" t="s">
        <v>17</v>
      </c>
      <c r="K21">
        <v>1141</v>
      </c>
      <c r="L21">
        <f t="shared" si="3"/>
        <v>1</v>
      </c>
      <c r="M21">
        <v>139.59393854085613</v>
      </c>
      <c r="N21">
        <v>142.18110872175782</v>
      </c>
      <c r="O21">
        <f t="shared" si="0"/>
        <v>1</v>
      </c>
      <c r="P21">
        <f t="shared" si="1"/>
        <v>0</v>
      </c>
      <c r="Q21">
        <f t="shared" si="2"/>
        <v>-5.431</v>
      </c>
      <c r="R21">
        <v>1</v>
      </c>
      <c r="S21">
        <f t="shared" si="4"/>
        <v>-2.2553070775190349</v>
      </c>
      <c r="T21">
        <v>-6.0313999103825511</v>
      </c>
      <c r="U21">
        <f t="shared" si="5"/>
        <v>-3.7760928328635162</v>
      </c>
      <c r="Z21" s="50"/>
    </row>
    <row r="22" spans="1:26">
      <c r="A22">
        <f t="shared" si="6"/>
        <v>21</v>
      </c>
      <c r="B22" s="2">
        <f t="shared" si="7"/>
        <v>9</v>
      </c>
      <c r="C22" s="3">
        <v>43264</v>
      </c>
      <c r="D22" s="4">
        <v>0.47478009259259263</v>
      </c>
      <c r="E22" s="5">
        <v>-8.49</v>
      </c>
      <c r="F22" s="5">
        <v>116.07</v>
      </c>
      <c r="G22" s="36">
        <v>3.6</v>
      </c>
      <c r="H22" s="5">
        <v>10</v>
      </c>
      <c r="I22" s="41" t="s">
        <v>10</v>
      </c>
      <c r="J22" s="45" t="s">
        <v>17</v>
      </c>
      <c r="K22">
        <v>1141</v>
      </c>
      <c r="L22">
        <f t="shared" si="3"/>
        <v>1</v>
      </c>
      <c r="M22">
        <v>94.330220972540559</v>
      </c>
      <c r="N22">
        <v>94.858792890950966</v>
      </c>
      <c r="O22">
        <f t="shared" si="0"/>
        <v>0</v>
      </c>
      <c r="P22">
        <f t="shared" si="1"/>
        <v>1</v>
      </c>
      <c r="Q22">
        <f t="shared" si="2"/>
        <v>-5.431</v>
      </c>
      <c r="R22">
        <v>1</v>
      </c>
      <c r="S22">
        <f t="shared" si="4"/>
        <v>-3.4847817961284906</v>
      </c>
      <c r="T22">
        <v>-6.2341324644366329</v>
      </c>
      <c r="U22">
        <f t="shared" si="5"/>
        <v>-2.7493506683081423</v>
      </c>
      <c r="Z22" s="50"/>
    </row>
    <row r="23" spans="1:26">
      <c r="A23" s="13">
        <f t="shared" si="6"/>
        <v>22</v>
      </c>
      <c r="B23" s="14">
        <f t="shared" si="7"/>
        <v>10</v>
      </c>
      <c r="C23" s="15">
        <v>43309</v>
      </c>
      <c r="D23" s="16">
        <v>0.94975694445020054</v>
      </c>
      <c r="E23" s="17">
        <v>-8.2799999999999994</v>
      </c>
      <c r="F23" s="17">
        <v>116.51</v>
      </c>
      <c r="G23" s="38">
        <v>6.5</v>
      </c>
      <c r="H23" s="17">
        <v>13</v>
      </c>
      <c r="I23" s="43" t="s">
        <v>10</v>
      </c>
      <c r="J23" s="47" t="s">
        <v>19</v>
      </c>
      <c r="K23">
        <v>283</v>
      </c>
      <c r="L23">
        <f t="shared" si="3"/>
        <v>3</v>
      </c>
      <c r="M23">
        <v>102.95038203100468</v>
      </c>
      <c r="N23">
        <v>103.76791970705499</v>
      </c>
      <c r="O23">
        <f t="shared" si="0"/>
        <v>0</v>
      </c>
      <c r="P23">
        <f t="shared" si="1"/>
        <v>1</v>
      </c>
      <c r="Q23">
        <f t="shared" si="2"/>
        <v>-4.8929999999999998</v>
      </c>
      <c r="R23">
        <v>0</v>
      </c>
      <c r="S23">
        <f t="shared" si="4"/>
        <v>2.028959925176741</v>
      </c>
      <c r="T23">
        <v>0.93262789110348587</v>
      </c>
      <c r="U23">
        <f t="shared" si="5"/>
        <v>-1.0963320340732552</v>
      </c>
      <c r="Z23" s="50"/>
    </row>
    <row r="24" spans="1:26">
      <c r="A24">
        <f t="shared" si="6"/>
        <v>23</v>
      </c>
      <c r="B24" s="2">
        <f t="shared" si="7"/>
        <v>11</v>
      </c>
      <c r="C24" s="3">
        <v>43309</v>
      </c>
      <c r="D24" s="4">
        <v>0.96942129629629636</v>
      </c>
      <c r="E24" s="5">
        <v>-8.16</v>
      </c>
      <c r="F24" s="5">
        <v>116.54</v>
      </c>
      <c r="G24" s="36">
        <v>4.9000000000000004</v>
      </c>
      <c r="H24" s="5">
        <v>10</v>
      </c>
      <c r="I24" s="41" t="s">
        <v>10</v>
      </c>
      <c r="J24" s="45" t="s">
        <v>19</v>
      </c>
      <c r="K24">
        <v>283</v>
      </c>
      <c r="L24">
        <f t="shared" si="3"/>
        <v>3</v>
      </c>
      <c r="M24">
        <v>103.61008734061461</v>
      </c>
      <c r="N24">
        <v>104.09154720115264</v>
      </c>
      <c r="O24">
        <f t="shared" si="0"/>
        <v>0</v>
      </c>
      <c r="P24">
        <f t="shared" si="1"/>
        <v>1</v>
      </c>
      <c r="Q24">
        <f t="shared" si="2"/>
        <v>-4.8929999999999998</v>
      </c>
      <c r="R24">
        <v>1</v>
      </c>
      <c r="S24">
        <f t="shared" si="4"/>
        <v>-0.76984085747372966</v>
      </c>
      <c r="T24">
        <v>-2.5120081396882803</v>
      </c>
      <c r="U24">
        <f t="shared" si="5"/>
        <v>-1.7421672822145506</v>
      </c>
      <c r="Z24" s="55"/>
    </row>
    <row r="25" spans="1:26">
      <c r="A25">
        <f t="shared" si="6"/>
        <v>24</v>
      </c>
      <c r="B25" s="2">
        <f t="shared" si="7"/>
        <v>12</v>
      </c>
      <c r="C25" s="3">
        <v>43310</v>
      </c>
      <c r="D25" s="4">
        <v>7.6759259259259263E-2</v>
      </c>
      <c r="E25" s="5">
        <v>-8.2200000000000006</v>
      </c>
      <c r="F25" s="5">
        <v>116.46</v>
      </c>
      <c r="G25" s="36">
        <v>5.4</v>
      </c>
      <c r="H25" s="5">
        <v>10</v>
      </c>
      <c r="I25" s="41" t="s">
        <v>10</v>
      </c>
      <c r="J25" s="45" t="s">
        <v>14</v>
      </c>
      <c r="K25">
        <v>290</v>
      </c>
      <c r="L25">
        <f t="shared" si="3"/>
        <v>3</v>
      </c>
      <c r="M25">
        <v>208.12715043998526</v>
      </c>
      <c r="N25">
        <v>208.36724970654157</v>
      </c>
      <c r="O25">
        <f t="shared" si="0"/>
        <v>0</v>
      </c>
      <c r="P25">
        <f t="shared" si="1"/>
        <v>1</v>
      </c>
      <c r="Q25">
        <f t="shared" si="2"/>
        <v>-4.8929999999999998</v>
      </c>
      <c r="R25">
        <v>1</v>
      </c>
      <c r="S25">
        <f t="shared" si="4"/>
        <v>-0.7368861604176864</v>
      </c>
      <c r="T25">
        <v>-1.4259797868736339</v>
      </c>
      <c r="U25">
        <f t="shared" si="5"/>
        <v>-0.68909362645594752</v>
      </c>
      <c r="Z25" s="55"/>
    </row>
    <row r="26" spans="1:26">
      <c r="A26">
        <f t="shared" si="6"/>
        <v>25</v>
      </c>
      <c r="B26" s="2">
        <f t="shared" si="7"/>
        <v>12</v>
      </c>
      <c r="C26" s="18">
        <v>43310</v>
      </c>
      <c r="D26" s="19">
        <v>7.6759259259259263E-2</v>
      </c>
      <c r="E26" s="20">
        <v>-8.2200000000000006</v>
      </c>
      <c r="F26" s="20">
        <v>116.46</v>
      </c>
      <c r="G26" s="36">
        <v>5.4</v>
      </c>
      <c r="H26" s="20">
        <v>10</v>
      </c>
      <c r="I26" s="2" t="s">
        <v>10</v>
      </c>
      <c r="J26" s="45" t="s">
        <v>16</v>
      </c>
      <c r="K26">
        <v>770</v>
      </c>
      <c r="L26">
        <f t="shared" si="3"/>
        <v>1</v>
      </c>
      <c r="M26">
        <v>63.920882697035651</v>
      </c>
      <c r="N26">
        <v>64.698371268279942</v>
      </c>
      <c r="O26">
        <f t="shared" si="0"/>
        <v>0</v>
      </c>
      <c r="P26">
        <f t="shared" si="1"/>
        <v>1</v>
      </c>
      <c r="Q26">
        <f t="shared" si="2"/>
        <v>-5.431</v>
      </c>
      <c r="R26">
        <v>1</v>
      </c>
      <c r="S26">
        <f t="shared" si="4"/>
        <v>9.7301640419947155E-2</v>
      </c>
      <c r="T26">
        <v>-2.5405873466082549</v>
      </c>
      <c r="U26">
        <f t="shared" si="5"/>
        <v>-2.6378889870282021</v>
      </c>
      <c r="Z26" s="55"/>
    </row>
    <row r="27" spans="1:26">
      <c r="A27">
        <f t="shared" si="6"/>
        <v>26</v>
      </c>
      <c r="B27" s="2">
        <f t="shared" si="7"/>
        <v>12</v>
      </c>
      <c r="C27" s="3">
        <v>43310</v>
      </c>
      <c r="D27" s="4">
        <v>7.6759259259259263E-2</v>
      </c>
      <c r="E27" s="5">
        <v>-8.2200000000000006</v>
      </c>
      <c r="F27" s="5">
        <v>116.46</v>
      </c>
      <c r="G27" s="36">
        <v>5.4</v>
      </c>
      <c r="H27" s="5">
        <v>10</v>
      </c>
      <c r="I27" s="41" t="s">
        <v>10</v>
      </c>
      <c r="J27" s="45" t="s">
        <v>19</v>
      </c>
      <c r="K27">
        <v>283</v>
      </c>
      <c r="L27">
        <f t="shared" si="3"/>
        <v>3</v>
      </c>
      <c r="M27">
        <v>109.98524049130438</v>
      </c>
      <c r="N27">
        <v>110.43891128551594</v>
      </c>
      <c r="O27">
        <f t="shared" si="0"/>
        <v>0</v>
      </c>
      <c r="P27">
        <f t="shared" si="1"/>
        <v>1</v>
      </c>
      <c r="Q27">
        <f t="shared" si="2"/>
        <v>-4.8929999999999998</v>
      </c>
      <c r="R27">
        <v>1</v>
      </c>
      <c r="S27">
        <f t="shared" si="4"/>
        <v>3.8476531446614004E-2</v>
      </c>
      <c r="T27">
        <v>-1.861569834705511</v>
      </c>
      <c r="U27">
        <f t="shared" si="5"/>
        <v>-1.900046366152125</v>
      </c>
      <c r="Z27" s="54"/>
    </row>
    <row r="28" spans="1:26">
      <c r="A28">
        <f t="shared" si="6"/>
        <v>27</v>
      </c>
      <c r="B28" s="2">
        <f t="shared" si="7"/>
        <v>12</v>
      </c>
      <c r="C28" s="3">
        <v>43310</v>
      </c>
      <c r="D28" s="4">
        <v>7.6759259259259263E-2</v>
      </c>
      <c r="E28" s="5">
        <v>-8.2200000000000006</v>
      </c>
      <c r="F28" s="5">
        <v>116.46</v>
      </c>
      <c r="G28" s="36">
        <v>5.4</v>
      </c>
      <c r="H28" s="5">
        <v>10</v>
      </c>
      <c r="I28" s="41" t="s">
        <v>10</v>
      </c>
      <c r="J28" s="45" t="s">
        <v>17</v>
      </c>
      <c r="K28">
        <v>1141</v>
      </c>
      <c r="L28">
        <f t="shared" si="3"/>
        <v>1</v>
      </c>
      <c r="M28">
        <v>74.238713416035168</v>
      </c>
      <c r="N28">
        <v>74.909188819985232</v>
      </c>
      <c r="O28">
        <f t="shared" si="0"/>
        <v>0</v>
      </c>
      <c r="P28">
        <f t="shared" si="1"/>
        <v>1</v>
      </c>
      <c r="Q28">
        <f t="shared" si="2"/>
        <v>-5.431</v>
      </c>
      <c r="R28">
        <v>1</v>
      </c>
      <c r="S28">
        <f t="shared" si="4"/>
        <v>-6.2560071893370761E-2</v>
      </c>
      <c r="T28">
        <v>-2.0915018974021589</v>
      </c>
      <c r="U28">
        <f t="shared" si="5"/>
        <v>-2.0289418255087881</v>
      </c>
    </row>
    <row r="29" spans="1:26">
      <c r="A29">
        <f t="shared" si="6"/>
        <v>28</v>
      </c>
      <c r="B29" s="2">
        <f t="shared" si="7"/>
        <v>13</v>
      </c>
      <c r="C29" s="18">
        <v>43310</v>
      </c>
      <c r="D29" s="19">
        <v>0.48100694444444447</v>
      </c>
      <c r="E29" s="20">
        <v>-8.33</v>
      </c>
      <c r="F29" s="20">
        <v>116.43</v>
      </c>
      <c r="G29" s="36">
        <v>3.5</v>
      </c>
      <c r="H29" s="20">
        <v>10</v>
      </c>
      <c r="I29" s="2" t="s">
        <v>10</v>
      </c>
      <c r="J29" s="45" t="s">
        <v>16</v>
      </c>
      <c r="K29">
        <v>770</v>
      </c>
      <c r="L29">
        <f t="shared" si="3"/>
        <v>1</v>
      </c>
      <c r="M29">
        <v>51.276522104060916</v>
      </c>
      <c r="N29">
        <v>52.242527878044413</v>
      </c>
      <c r="O29">
        <f t="shared" si="0"/>
        <v>0</v>
      </c>
      <c r="P29">
        <f t="shared" si="1"/>
        <v>1</v>
      </c>
      <c r="Q29">
        <f t="shared" si="2"/>
        <v>-5.431</v>
      </c>
      <c r="R29">
        <v>1</v>
      </c>
      <c r="S29">
        <f t="shared" si="4"/>
        <v>-3.0024048385935873</v>
      </c>
      <c r="T29">
        <v>-6.0313999103825511</v>
      </c>
      <c r="U29">
        <f t="shared" si="5"/>
        <v>-3.0289950717889638</v>
      </c>
    </row>
    <row r="30" spans="1:26">
      <c r="A30">
        <f t="shared" si="6"/>
        <v>29</v>
      </c>
      <c r="B30" s="2">
        <f t="shared" si="7"/>
        <v>14</v>
      </c>
      <c r="C30" s="3">
        <v>43313</v>
      </c>
      <c r="D30" s="4">
        <v>0.44724537037037032</v>
      </c>
      <c r="E30" s="5">
        <v>-8.24</v>
      </c>
      <c r="F30" s="5">
        <v>116.67</v>
      </c>
      <c r="G30" s="36">
        <v>4.2</v>
      </c>
      <c r="H30" s="5">
        <v>10</v>
      </c>
      <c r="I30" s="41" t="s">
        <v>10</v>
      </c>
      <c r="J30" s="45" t="s">
        <v>14</v>
      </c>
      <c r="K30">
        <v>290</v>
      </c>
      <c r="L30">
        <f t="shared" si="3"/>
        <v>3</v>
      </c>
      <c r="M30">
        <v>184.73212793909977</v>
      </c>
      <c r="N30">
        <v>185.00259212483465</v>
      </c>
      <c r="O30">
        <f t="shared" si="0"/>
        <v>0</v>
      </c>
      <c r="P30">
        <f t="shared" si="1"/>
        <v>1</v>
      </c>
      <c r="Q30">
        <f t="shared" si="2"/>
        <v>-4.8929999999999998</v>
      </c>
      <c r="R30">
        <v>0</v>
      </c>
      <c r="S30">
        <f t="shared" si="4"/>
        <v>-2.6918040061684319</v>
      </c>
      <c r="T30">
        <v>-4.6773748098314458</v>
      </c>
      <c r="U30">
        <f t="shared" si="5"/>
        <v>-1.985570803663014</v>
      </c>
    </row>
    <row r="31" spans="1:26">
      <c r="A31" s="13">
        <f t="shared" si="6"/>
        <v>30</v>
      </c>
      <c r="B31" s="14">
        <f t="shared" si="7"/>
        <v>15</v>
      </c>
      <c r="C31" s="21">
        <v>43317</v>
      </c>
      <c r="D31" s="22">
        <v>0.49070601851851853</v>
      </c>
      <c r="E31" s="23">
        <v>-8.2899999999999991</v>
      </c>
      <c r="F31" s="23">
        <v>116.48</v>
      </c>
      <c r="G31" s="38">
        <v>6.9</v>
      </c>
      <c r="H31" s="23">
        <v>17.8</v>
      </c>
      <c r="I31" s="14" t="s">
        <v>10</v>
      </c>
      <c r="J31" s="47" t="s">
        <v>16</v>
      </c>
      <c r="K31">
        <v>770</v>
      </c>
      <c r="L31">
        <f t="shared" si="3"/>
        <v>1</v>
      </c>
      <c r="M31">
        <v>57.419723907976618</v>
      </c>
      <c r="N31">
        <v>60.115428083548252</v>
      </c>
      <c r="O31">
        <f t="shared" si="0"/>
        <v>1</v>
      </c>
      <c r="P31">
        <f t="shared" si="1"/>
        <v>1</v>
      </c>
      <c r="Q31">
        <f t="shared" si="2"/>
        <v>-5.431</v>
      </c>
      <c r="R31">
        <v>1</v>
      </c>
      <c r="S31">
        <f t="shared" si="4"/>
        <v>2.7856225881622718</v>
      </c>
      <c r="T31">
        <v>0.88767623383999861</v>
      </c>
      <c r="U31">
        <f t="shared" si="5"/>
        <v>-1.8979463543222732</v>
      </c>
    </row>
    <row r="32" spans="1:26">
      <c r="A32" s="13">
        <f t="shared" si="6"/>
        <v>31</v>
      </c>
      <c r="B32" s="14">
        <f t="shared" si="7"/>
        <v>15</v>
      </c>
      <c r="C32" s="15">
        <v>43317</v>
      </c>
      <c r="D32" s="16">
        <v>0.49070601851851853</v>
      </c>
      <c r="E32" s="23">
        <v>-8.2899999999999991</v>
      </c>
      <c r="F32" s="17">
        <v>116.48</v>
      </c>
      <c r="G32" s="38">
        <v>6.9</v>
      </c>
      <c r="H32" s="23">
        <v>17.8</v>
      </c>
      <c r="I32" s="43" t="s">
        <v>10</v>
      </c>
      <c r="J32" s="47" t="s">
        <v>19</v>
      </c>
      <c r="K32">
        <v>283</v>
      </c>
      <c r="L32">
        <f t="shared" si="3"/>
        <v>3</v>
      </c>
      <c r="M32">
        <v>105.96476647702214</v>
      </c>
      <c r="N32">
        <v>107.44939150376719</v>
      </c>
      <c r="O32">
        <f t="shared" si="0"/>
        <v>1</v>
      </c>
      <c r="P32">
        <f t="shared" si="1"/>
        <v>1</v>
      </c>
      <c r="Q32">
        <f t="shared" si="2"/>
        <v>-4.8929999999999998</v>
      </c>
      <c r="R32">
        <v>0</v>
      </c>
      <c r="S32">
        <f t="shared" si="4"/>
        <v>2.6996488193660895</v>
      </c>
      <c r="T32">
        <v>1.1566783305145205</v>
      </c>
      <c r="U32">
        <f t="shared" si="5"/>
        <v>-1.542970488851569</v>
      </c>
    </row>
    <row r="33" spans="1:21">
      <c r="A33" s="13">
        <f t="shared" si="6"/>
        <v>32</v>
      </c>
      <c r="B33" s="14">
        <f t="shared" si="7"/>
        <v>15</v>
      </c>
      <c r="C33" s="15">
        <v>43317</v>
      </c>
      <c r="D33" s="16">
        <v>0.49070601851851853</v>
      </c>
      <c r="E33" s="23">
        <v>-8.2899999999999991</v>
      </c>
      <c r="F33" s="17">
        <v>116.48</v>
      </c>
      <c r="G33" s="38">
        <v>6.9</v>
      </c>
      <c r="H33" s="23">
        <v>17.8</v>
      </c>
      <c r="I33" s="43" t="s">
        <v>10</v>
      </c>
      <c r="J33" s="47" t="s">
        <v>17</v>
      </c>
      <c r="K33">
        <v>1141</v>
      </c>
      <c r="L33">
        <f t="shared" si="3"/>
        <v>1</v>
      </c>
      <c r="M33">
        <v>66.881610355374306</v>
      </c>
      <c r="N33">
        <v>69.20975222992864</v>
      </c>
      <c r="O33">
        <f t="shared" si="0"/>
        <v>1</v>
      </c>
      <c r="P33">
        <f t="shared" si="1"/>
        <v>1</v>
      </c>
      <c r="Q33">
        <f t="shared" si="2"/>
        <v>-5.431</v>
      </c>
      <c r="R33">
        <v>1</v>
      </c>
      <c r="S33">
        <f t="shared" si="4"/>
        <v>2.6391692247242338</v>
      </c>
      <c r="T33">
        <v>1.0074121004940164</v>
      </c>
      <c r="U33">
        <f t="shared" si="5"/>
        <v>-1.6317571242302173</v>
      </c>
    </row>
    <row r="34" spans="1:21">
      <c r="A34">
        <f t="shared" si="6"/>
        <v>33</v>
      </c>
      <c r="B34" s="2">
        <f t="shared" si="7"/>
        <v>16</v>
      </c>
      <c r="C34" s="3">
        <v>43317</v>
      </c>
      <c r="D34" s="4">
        <v>0.73790509259561077</v>
      </c>
      <c r="E34" s="5">
        <v>-8.31</v>
      </c>
      <c r="F34" s="5">
        <v>116.03</v>
      </c>
      <c r="G34" s="36">
        <v>4.4000000000000004</v>
      </c>
      <c r="H34" s="5">
        <v>10</v>
      </c>
      <c r="I34" s="41" t="s">
        <v>10</v>
      </c>
      <c r="J34" s="45" t="s">
        <v>19</v>
      </c>
      <c r="K34">
        <v>283</v>
      </c>
      <c r="L34">
        <f t="shared" si="3"/>
        <v>3</v>
      </c>
      <c r="M34">
        <v>154.91870209025714</v>
      </c>
      <c r="N34">
        <v>155.24111651662983</v>
      </c>
      <c r="O34">
        <f t="shared" ref="O34:O65" si="8">IF(H34&lt;15,0,1)</f>
        <v>0</v>
      </c>
      <c r="P34">
        <f t="shared" ref="P34:P65" si="9">IF(I34="reverse",1,0)</f>
        <v>1</v>
      </c>
      <c r="Q34">
        <f t="shared" ref="Q34:Q65" si="10">IF(L34=1,$W$8,IF(L34=2,$W$9,$W$10))</f>
        <v>-4.8929999999999998</v>
      </c>
      <c r="R34">
        <v>1</v>
      </c>
      <c r="S34">
        <f t="shared" si="4"/>
        <v>-2.1214563660180157</v>
      </c>
      <c r="T34">
        <v>-5.3382527298226057</v>
      </c>
      <c r="U34">
        <f t="shared" si="5"/>
        <v>-3.21679636380459</v>
      </c>
    </row>
    <row r="35" spans="1:21">
      <c r="A35">
        <f t="shared" si="6"/>
        <v>34</v>
      </c>
      <c r="B35" s="2">
        <f t="shared" si="7"/>
        <v>17</v>
      </c>
      <c r="C35" s="3">
        <v>43318</v>
      </c>
      <c r="D35" s="4">
        <v>0.66035879629635019</v>
      </c>
      <c r="E35" s="5">
        <v>-8.42</v>
      </c>
      <c r="F35" s="5">
        <v>116.03</v>
      </c>
      <c r="G35" s="36">
        <v>5.0999999999999996</v>
      </c>
      <c r="H35" s="5">
        <v>23</v>
      </c>
      <c r="I35" s="41" t="s">
        <v>10</v>
      </c>
      <c r="J35" s="45" t="s">
        <v>19</v>
      </c>
      <c r="K35">
        <v>283</v>
      </c>
      <c r="L35">
        <f t="shared" si="3"/>
        <v>3</v>
      </c>
      <c r="M35">
        <v>153.83691687865382</v>
      </c>
      <c r="N35">
        <v>155.5467678697627</v>
      </c>
      <c r="O35">
        <f t="shared" si="8"/>
        <v>1</v>
      </c>
      <c r="P35">
        <f t="shared" si="9"/>
        <v>1</v>
      </c>
      <c r="Q35">
        <f t="shared" si="10"/>
        <v>-4.8929999999999998</v>
      </c>
      <c r="R35">
        <v>1</v>
      </c>
      <c r="S35">
        <f t="shared" si="4"/>
        <v>-0.84300608199248472</v>
      </c>
      <c r="T35">
        <v>-2.7078800830024656</v>
      </c>
      <c r="U35">
        <f t="shared" si="5"/>
        <v>-1.8648740010099809</v>
      </c>
    </row>
    <row r="36" spans="1:21">
      <c r="A36">
        <f t="shared" si="6"/>
        <v>35</v>
      </c>
      <c r="B36" s="2">
        <f t="shared" si="7"/>
        <v>17</v>
      </c>
      <c r="C36" s="3">
        <v>43318</v>
      </c>
      <c r="D36" s="4">
        <v>0.66035879629635019</v>
      </c>
      <c r="E36" s="5">
        <v>-8.42</v>
      </c>
      <c r="F36" s="5">
        <v>116.03</v>
      </c>
      <c r="G36" s="36">
        <v>5.0999999999999996</v>
      </c>
      <c r="H36" s="5">
        <v>23</v>
      </c>
      <c r="I36" s="41" t="s">
        <v>10</v>
      </c>
      <c r="J36" s="45" t="s">
        <v>17</v>
      </c>
      <c r="K36">
        <v>1141</v>
      </c>
      <c r="L36">
        <f t="shared" si="3"/>
        <v>1</v>
      </c>
      <c r="M36">
        <v>101.03942513429189</v>
      </c>
      <c r="N36">
        <v>103.6241546719112</v>
      </c>
      <c r="O36">
        <f t="shared" si="8"/>
        <v>1</v>
      </c>
      <c r="P36">
        <f t="shared" si="9"/>
        <v>1</v>
      </c>
      <c r="Q36">
        <f t="shared" si="10"/>
        <v>-5.431</v>
      </c>
      <c r="R36">
        <v>1</v>
      </c>
      <c r="S36">
        <f t="shared" si="4"/>
        <v>-0.90041538688481459</v>
      </c>
      <c r="T36">
        <v>-3.1561729133998773</v>
      </c>
      <c r="U36">
        <f t="shared" si="5"/>
        <v>-2.2557575265150627</v>
      </c>
    </row>
    <row r="37" spans="1:21">
      <c r="A37">
        <f t="shared" si="6"/>
        <v>36</v>
      </c>
      <c r="B37" s="2">
        <f t="shared" si="7"/>
        <v>18</v>
      </c>
      <c r="C37" s="3">
        <v>43319</v>
      </c>
      <c r="D37" s="4">
        <v>9.3171296321088448E-3</v>
      </c>
      <c r="E37" s="5">
        <v>-8.17</v>
      </c>
      <c r="F37" s="5">
        <v>116.23</v>
      </c>
      <c r="G37" s="36">
        <v>3.9</v>
      </c>
      <c r="H37" s="5">
        <v>10</v>
      </c>
      <c r="I37" s="41" t="s">
        <v>10</v>
      </c>
      <c r="J37" s="45" t="s">
        <v>17</v>
      </c>
      <c r="K37">
        <v>1141</v>
      </c>
      <c r="L37">
        <f t="shared" si="3"/>
        <v>1</v>
      </c>
      <c r="M37">
        <v>96.076875672391154</v>
      </c>
      <c r="N37">
        <v>96.595890383432504</v>
      </c>
      <c r="O37">
        <f t="shared" si="8"/>
        <v>0</v>
      </c>
      <c r="P37">
        <f t="shared" si="9"/>
        <v>1</v>
      </c>
      <c r="Q37">
        <f t="shared" si="10"/>
        <v>-5.431</v>
      </c>
      <c r="R37">
        <v>1</v>
      </c>
      <c r="S37">
        <f t="shared" si="4"/>
        <v>-2.9782347261435898</v>
      </c>
      <c r="T37">
        <v>-6.2341324644366329</v>
      </c>
      <c r="U37">
        <f t="shared" si="5"/>
        <v>-3.2558977382930432</v>
      </c>
    </row>
    <row r="38" spans="1:21">
      <c r="A38">
        <f t="shared" si="6"/>
        <v>37</v>
      </c>
      <c r="B38" s="2">
        <f t="shared" si="7"/>
        <v>19</v>
      </c>
      <c r="C38" s="3">
        <v>43319</v>
      </c>
      <c r="D38" s="4">
        <v>0.25082175926218042</v>
      </c>
      <c r="E38" s="5">
        <v>-8.34</v>
      </c>
      <c r="F38" s="5">
        <v>116.03</v>
      </c>
      <c r="G38" s="36">
        <v>4.4000000000000004</v>
      </c>
      <c r="H38" s="5">
        <v>11</v>
      </c>
      <c r="I38" s="41" t="s">
        <v>10</v>
      </c>
      <c r="J38" s="45" t="s">
        <v>14</v>
      </c>
      <c r="K38">
        <v>290</v>
      </c>
      <c r="L38">
        <f t="shared" si="3"/>
        <v>3</v>
      </c>
      <c r="M38">
        <v>254.16745999184849</v>
      </c>
      <c r="N38">
        <v>254.40538067955225</v>
      </c>
      <c r="O38">
        <f t="shared" si="8"/>
        <v>0</v>
      </c>
      <c r="P38">
        <f t="shared" si="9"/>
        <v>1</v>
      </c>
      <c r="Q38">
        <f t="shared" si="10"/>
        <v>-4.8929999999999998</v>
      </c>
      <c r="R38">
        <v>1</v>
      </c>
      <c r="S38">
        <f t="shared" si="4"/>
        <v>-2.7604478843301403</v>
      </c>
      <c r="T38">
        <v>-4.7889465854885511</v>
      </c>
      <c r="U38">
        <f t="shared" si="5"/>
        <v>-2.0284987011584108</v>
      </c>
    </row>
    <row r="39" spans="1:21">
      <c r="A39">
        <f t="shared" si="6"/>
        <v>38</v>
      </c>
      <c r="B39" s="2">
        <f t="shared" si="7"/>
        <v>19</v>
      </c>
      <c r="C39" s="3">
        <v>43319</v>
      </c>
      <c r="D39" s="4">
        <v>0.25082175926218042</v>
      </c>
      <c r="E39" s="5">
        <v>-8.34</v>
      </c>
      <c r="F39" s="5">
        <v>116.03</v>
      </c>
      <c r="G39" s="36">
        <v>4.4000000000000004</v>
      </c>
      <c r="H39" s="5">
        <v>11</v>
      </c>
      <c r="I39" s="41" t="s">
        <v>10</v>
      </c>
      <c r="J39" s="45" t="s">
        <v>17</v>
      </c>
      <c r="K39">
        <v>1141</v>
      </c>
      <c r="L39">
        <f t="shared" si="3"/>
        <v>1</v>
      </c>
      <c r="M39">
        <v>104.48053403207783</v>
      </c>
      <c r="N39">
        <v>105.05799346850374</v>
      </c>
      <c r="O39">
        <f t="shared" si="8"/>
        <v>0</v>
      </c>
      <c r="P39">
        <f t="shared" si="9"/>
        <v>1</v>
      </c>
      <c r="Q39">
        <f t="shared" si="10"/>
        <v>-5.431</v>
      </c>
      <c r="R39">
        <v>1</v>
      </c>
      <c r="S39">
        <f t="shared" si="4"/>
        <v>-2.1961133601072533</v>
      </c>
      <c r="T39">
        <v>-5.5409852838766875</v>
      </c>
      <c r="U39">
        <f t="shared" si="5"/>
        <v>-3.3448719237694342</v>
      </c>
    </row>
    <row r="40" spans="1:21">
      <c r="A40">
        <f t="shared" si="6"/>
        <v>39</v>
      </c>
      <c r="B40" s="2">
        <f t="shared" si="7"/>
        <v>20</v>
      </c>
      <c r="C40" s="3">
        <v>43319</v>
      </c>
      <c r="D40" s="4">
        <v>0.58655092593107838</v>
      </c>
      <c r="E40" s="5">
        <v>-8.23</v>
      </c>
      <c r="F40" s="5">
        <v>116.23</v>
      </c>
      <c r="G40" s="36">
        <v>3.8</v>
      </c>
      <c r="H40" s="5">
        <v>14</v>
      </c>
      <c r="I40" s="41" t="s">
        <v>10</v>
      </c>
      <c r="J40" s="45" t="s">
        <v>17</v>
      </c>
      <c r="K40">
        <v>1141</v>
      </c>
      <c r="L40">
        <f t="shared" si="3"/>
        <v>1</v>
      </c>
      <c r="M40">
        <v>91.835397766047166</v>
      </c>
      <c r="N40">
        <v>92.896395424408695</v>
      </c>
      <c r="O40">
        <f t="shared" si="8"/>
        <v>0</v>
      </c>
      <c r="P40">
        <f t="shared" si="9"/>
        <v>1</v>
      </c>
      <c r="Q40">
        <f t="shared" si="10"/>
        <v>-5.431</v>
      </c>
      <c r="R40">
        <v>1</v>
      </c>
      <c r="S40">
        <f t="shared" si="4"/>
        <v>-3.1095343912059392</v>
      </c>
      <c r="T40">
        <v>-5.6848263201025784</v>
      </c>
      <c r="U40">
        <f t="shared" si="5"/>
        <v>-2.5752919288966392</v>
      </c>
    </row>
    <row r="41" spans="1:21">
      <c r="A41">
        <f t="shared" si="6"/>
        <v>40</v>
      </c>
      <c r="B41" s="2">
        <f t="shared" si="7"/>
        <v>21</v>
      </c>
      <c r="C41" s="3">
        <v>43319</v>
      </c>
      <c r="D41" s="4">
        <v>0.79923611111007631</v>
      </c>
      <c r="E41" s="5">
        <v>-8.2799999999999994</v>
      </c>
      <c r="F41" s="5">
        <v>116.16</v>
      </c>
      <c r="G41" s="36">
        <v>4.5999999999999996</v>
      </c>
      <c r="H41" s="5">
        <v>12</v>
      </c>
      <c r="I41" s="41" t="s">
        <v>10</v>
      </c>
      <c r="J41" s="45" t="s">
        <v>14</v>
      </c>
      <c r="K41">
        <v>290</v>
      </c>
      <c r="L41">
        <f t="shared" si="3"/>
        <v>3</v>
      </c>
      <c r="M41">
        <v>240.35487107688945</v>
      </c>
      <c r="N41">
        <v>240.65424170454207</v>
      </c>
      <c r="O41">
        <f t="shared" si="8"/>
        <v>0</v>
      </c>
      <c r="P41">
        <f t="shared" si="9"/>
        <v>1</v>
      </c>
      <c r="Q41">
        <f t="shared" si="10"/>
        <v>-4.8929999999999998</v>
      </c>
      <c r="R41">
        <v>1</v>
      </c>
      <c r="S41">
        <f t="shared" si="4"/>
        <v>-2.3332059286766547</v>
      </c>
      <c r="T41">
        <v>-3.8140113103528455</v>
      </c>
      <c r="U41">
        <f t="shared" si="5"/>
        <v>-1.4808053816761908</v>
      </c>
    </row>
    <row r="42" spans="1:21">
      <c r="A42">
        <f t="shared" si="6"/>
        <v>41</v>
      </c>
      <c r="B42" s="2">
        <f t="shared" si="7"/>
        <v>21</v>
      </c>
      <c r="C42" s="3">
        <v>43319</v>
      </c>
      <c r="D42" s="4">
        <v>0.79923611111007631</v>
      </c>
      <c r="E42" s="5">
        <v>-8.2799999999999994</v>
      </c>
      <c r="F42" s="5">
        <v>116.16</v>
      </c>
      <c r="G42" s="36">
        <v>4.5999999999999996</v>
      </c>
      <c r="H42" s="5">
        <v>12</v>
      </c>
      <c r="I42" s="41" t="s">
        <v>10</v>
      </c>
      <c r="J42" s="45" t="s">
        <v>19</v>
      </c>
      <c r="K42">
        <v>283</v>
      </c>
      <c r="L42">
        <f t="shared" si="3"/>
        <v>3</v>
      </c>
      <c r="M42">
        <v>141.11331413559105</v>
      </c>
      <c r="N42">
        <v>141.62262328572368</v>
      </c>
      <c r="O42">
        <f t="shared" si="8"/>
        <v>0</v>
      </c>
      <c r="P42">
        <f t="shared" si="9"/>
        <v>1</v>
      </c>
      <c r="Q42">
        <f t="shared" si="10"/>
        <v>-4.8929999999999998</v>
      </c>
      <c r="R42">
        <v>1</v>
      </c>
      <c r="S42">
        <f t="shared" si="4"/>
        <v>-1.6584698493279126</v>
      </c>
      <c r="T42">
        <v>-3.7570999931327025</v>
      </c>
      <c r="U42">
        <f t="shared" si="5"/>
        <v>-2.0986301438047898</v>
      </c>
    </row>
    <row r="43" spans="1:21">
      <c r="A43">
        <f t="shared" si="6"/>
        <v>42</v>
      </c>
      <c r="B43" s="2">
        <f t="shared" si="7"/>
        <v>22</v>
      </c>
      <c r="C43" s="3">
        <v>43320</v>
      </c>
      <c r="D43" s="4">
        <v>0.93439814815064892</v>
      </c>
      <c r="E43" s="5">
        <v>-8.36</v>
      </c>
      <c r="F43" s="5">
        <v>116.22</v>
      </c>
      <c r="G43" s="36">
        <v>6.1</v>
      </c>
      <c r="H43" s="5">
        <v>12</v>
      </c>
      <c r="I43" s="41" t="s">
        <v>10</v>
      </c>
      <c r="J43" s="45" t="s">
        <v>19</v>
      </c>
      <c r="K43">
        <v>283</v>
      </c>
      <c r="L43">
        <f t="shared" si="3"/>
        <v>3</v>
      </c>
      <c r="M43">
        <v>133.30300987573361</v>
      </c>
      <c r="N43">
        <v>133.8420428786483</v>
      </c>
      <c r="O43">
        <f t="shared" si="8"/>
        <v>0</v>
      </c>
      <c r="P43">
        <f t="shared" si="9"/>
        <v>1</v>
      </c>
      <c r="Q43">
        <f t="shared" si="10"/>
        <v>-4.8929999999999998</v>
      </c>
      <c r="R43">
        <v>1</v>
      </c>
      <c r="S43">
        <f t="shared" si="4"/>
        <v>1.0381522677156889</v>
      </c>
      <c r="T43">
        <v>-0.4802513854299591</v>
      </c>
      <c r="U43">
        <f t="shared" si="5"/>
        <v>-1.518403653145648</v>
      </c>
    </row>
    <row r="44" spans="1:21">
      <c r="A44">
        <f t="shared" si="6"/>
        <v>43</v>
      </c>
      <c r="B44" s="2">
        <f t="shared" si="7"/>
        <v>22</v>
      </c>
      <c r="C44" s="3">
        <v>43320</v>
      </c>
      <c r="D44" s="4">
        <v>0.93439814815064892</v>
      </c>
      <c r="E44" s="5">
        <v>-8.36</v>
      </c>
      <c r="F44" s="5">
        <v>116.22</v>
      </c>
      <c r="G44" s="36">
        <v>6.1</v>
      </c>
      <c r="H44" s="5">
        <v>12</v>
      </c>
      <c r="I44" s="41" t="s">
        <v>10</v>
      </c>
      <c r="J44" s="45" t="s">
        <v>17</v>
      </c>
      <c r="K44">
        <v>1141</v>
      </c>
      <c r="L44">
        <f t="shared" si="3"/>
        <v>1</v>
      </c>
      <c r="M44">
        <v>84.698985891143934</v>
      </c>
      <c r="N44">
        <v>85.544831585480367</v>
      </c>
      <c r="O44">
        <f t="shared" si="8"/>
        <v>0</v>
      </c>
      <c r="P44">
        <f t="shared" si="9"/>
        <v>1</v>
      </c>
      <c r="Q44">
        <f t="shared" si="10"/>
        <v>-5.431</v>
      </c>
      <c r="R44">
        <v>1</v>
      </c>
      <c r="S44">
        <f t="shared" si="4"/>
        <v>1.0118688301860024</v>
      </c>
      <c r="T44">
        <v>-0.2616600312868137</v>
      </c>
      <c r="U44">
        <f t="shared" si="5"/>
        <v>-1.273528861472816</v>
      </c>
    </row>
    <row r="45" spans="1:21">
      <c r="A45">
        <f t="shared" si="6"/>
        <v>44</v>
      </c>
      <c r="B45" s="2">
        <f t="shared" si="7"/>
        <v>23</v>
      </c>
      <c r="C45" s="3">
        <v>43322</v>
      </c>
      <c r="D45" s="4">
        <v>0.37334490741341142</v>
      </c>
      <c r="E45" s="5">
        <v>-8.07</v>
      </c>
      <c r="F45" s="5">
        <v>116.48</v>
      </c>
      <c r="G45" s="36">
        <v>4.8</v>
      </c>
      <c r="H45" s="5">
        <v>10</v>
      </c>
      <c r="I45" s="41" t="s">
        <v>10</v>
      </c>
      <c r="J45" s="45" t="s">
        <v>14</v>
      </c>
      <c r="K45">
        <v>290</v>
      </c>
      <c r="L45">
        <f t="shared" si="3"/>
        <v>3</v>
      </c>
      <c r="M45">
        <v>209.11492183048009</v>
      </c>
      <c r="N45">
        <v>209.3538882661791</v>
      </c>
      <c r="O45">
        <f t="shared" si="8"/>
        <v>0</v>
      </c>
      <c r="P45">
        <f t="shared" si="9"/>
        <v>1</v>
      </c>
      <c r="Q45">
        <f t="shared" si="10"/>
        <v>-4.8929999999999998</v>
      </c>
      <c r="R45">
        <v>1</v>
      </c>
      <c r="S45">
        <f t="shared" si="4"/>
        <v>-1.7966681933481206</v>
      </c>
      <c r="T45">
        <v>-2.384381126545787</v>
      </c>
      <c r="U45">
        <f t="shared" si="5"/>
        <v>-0.58771293319766649</v>
      </c>
    </row>
    <row r="46" spans="1:21">
      <c r="A46">
        <f t="shared" si="6"/>
        <v>45</v>
      </c>
      <c r="B46" s="2">
        <f t="shared" si="7"/>
        <v>24</v>
      </c>
      <c r="C46" s="3">
        <v>43323</v>
      </c>
      <c r="D46" s="4">
        <v>0.36259259259531973</v>
      </c>
      <c r="E46" s="5">
        <v>-8.19</v>
      </c>
      <c r="F46" s="5">
        <v>116.32</v>
      </c>
      <c r="G46" s="36">
        <v>4</v>
      </c>
      <c r="H46" s="5">
        <v>10</v>
      </c>
      <c r="I46" s="41" t="s">
        <v>10</v>
      </c>
      <c r="J46" s="45" t="s">
        <v>13</v>
      </c>
      <c r="K46">
        <v>386</v>
      </c>
      <c r="L46">
        <f t="shared" si="3"/>
        <v>2</v>
      </c>
      <c r="M46">
        <v>266.53643214013192</v>
      </c>
      <c r="N46">
        <v>266.72395778780572</v>
      </c>
      <c r="O46">
        <f t="shared" si="8"/>
        <v>0</v>
      </c>
      <c r="P46">
        <f t="shared" si="9"/>
        <v>1</v>
      </c>
      <c r="Q46">
        <f t="shared" si="10"/>
        <v>-5.0890000000000004</v>
      </c>
      <c r="R46">
        <v>1</v>
      </c>
      <c r="S46">
        <f t="shared" si="4"/>
        <v>-3.7250221415888274</v>
      </c>
      <c r="T46">
        <v>-5.3382527298226057</v>
      </c>
      <c r="U46">
        <f t="shared" si="5"/>
        <v>-1.6132305882337783</v>
      </c>
    </row>
    <row r="47" spans="1:21">
      <c r="A47">
        <f t="shared" si="6"/>
        <v>46</v>
      </c>
      <c r="B47" s="2">
        <f t="shared" si="7"/>
        <v>24</v>
      </c>
      <c r="C47" s="3">
        <v>43323</v>
      </c>
      <c r="D47" s="4">
        <v>0.36259259259531973</v>
      </c>
      <c r="E47" s="5">
        <v>-8.19</v>
      </c>
      <c r="F47" s="5">
        <v>116.32</v>
      </c>
      <c r="G47" s="36">
        <v>4</v>
      </c>
      <c r="H47" s="5">
        <v>10</v>
      </c>
      <c r="I47" s="41" t="s">
        <v>10</v>
      </c>
      <c r="J47" s="45" t="s">
        <v>19</v>
      </c>
      <c r="K47">
        <v>283</v>
      </c>
      <c r="L47">
        <f t="shared" si="3"/>
        <v>3</v>
      </c>
      <c r="M47">
        <v>125.86472859435281</v>
      </c>
      <c r="N47">
        <v>126.261355545274</v>
      </c>
      <c r="O47">
        <f t="shared" si="8"/>
        <v>0</v>
      </c>
      <c r="P47">
        <f t="shared" si="9"/>
        <v>1</v>
      </c>
      <c r="Q47">
        <f t="shared" si="10"/>
        <v>-4.8929999999999998</v>
      </c>
      <c r="R47">
        <v>1</v>
      </c>
      <c r="S47">
        <f t="shared" si="4"/>
        <v>-2.5754863131576449</v>
      </c>
      <c r="T47">
        <v>-5.0584448358548944</v>
      </c>
      <c r="U47">
        <f t="shared" si="5"/>
        <v>-2.4829585226972495</v>
      </c>
    </row>
    <row r="48" spans="1:21">
      <c r="A48">
        <f t="shared" si="6"/>
        <v>47</v>
      </c>
      <c r="B48" s="2">
        <f t="shared" si="7"/>
        <v>24</v>
      </c>
      <c r="C48" s="3">
        <v>43323</v>
      </c>
      <c r="D48" s="4">
        <v>0.36259259259531973</v>
      </c>
      <c r="E48" s="5">
        <v>-8.19</v>
      </c>
      <c r="F48" s="5">
        <v>116.32</v>
      </c>
      <c r="G48" s="36">
        <v>4</v>
      </c>
      <c r="H48" s="5">
        <v>10</v>
      </c>
      <c r="I48" s="41" t="s">
        <v>10</v>
      </c>
      <c r="J48" s="45" t="s">
        <v>17</v>
      </c>
      <c r="K48">
        <v>1141</v>
      </c>
      <c r="L48">
        <f t="shared" si="3"/>
        <v>1</v>
      </c>
      <c r="M48">
        <v>87.215807594313191</v>
      </c>
      <c r="N48">
        <v>87.787226259452225</v>
      </c>
      <c r="O48">
        <f t="shared" si="8"/>
        <v>0</v>
      </c>
      <c r="P48">
        <f t="shared" si="9"/>
        <v>1</v>
      </c>
      <c r="Q48">
        <f t="shared" si="10"/>
        <v>-5.431</v>
      </c>
      <c r="R48">
        <v>1</v>
      </c>
      <c r="S48">
        <f t="shared" si="4"/>
        <v>-2.6941603209179594</v>
      </c>
      <c r="T48">
        <v>-5.6848263201025784</v>
      </c>
      <c r="U48">
        <f t="shared" si="5"/>
        <v>-2.990665999184619</v>
      </c>
    </row>
    <row r="49" spans="1:21">
      <c r="A49">
        <f t="shared" si="6"/>
        <v>48</v>
      </c>
      <c r="B49" s="2">
        <f t="shared" si="7"/>
        <v>25</v>
      </c>
      <c r="C49" s="3">
        <v>43324</v>
      </c>
      <c r="D49" s="4">
        <v>0.77943287037487607</v>
      </c>
      <c r="E49" s="5">
        <v>-8.3000000000000007</v>
      </c>
      <c r="F49" s="5">
        <v>116.18</v>
      </c>
      <c r="G49" s="36">
        <v>4.5</v>
      </c>
      <c r="H49" s="5">
        <v>10</v>
      </c>
      <c r="I49" s="41" t="s">
        <v>10</v>
      </c>
      <c r="J49" s="45" t="s">
        <v>17</v>
      </c>
      <c r="K49">
        <v>1141</v>
      </c>
      <c r="L49">
        <f t="shared" si="3"/>
        <v>1</v>
      </c>
      <c r="M49">
        <v>91.933864428229342</v>
      </c>
      <c r="N49">
        <v>92.47613437372938</v>
      </c>
      <c r="O49">
        <f t="shared" si="8"/>
        <v>0</v>
      </c>
      <c r="P49">
        <f t="shared" si="9"/>
        <v>1</v>
      </c>
      <c r="Q49">
        <f t="shared" si="10"/>
        <v>-5.431</v>
      </c>
      <c r="R49">
        <v>1</v>
      </c>
      <c r="S49">
        <f t="shared" si="4"/>
        <v>-1.8748702698121966</v>
      </c>
      <c r="T49">
        <v>-5.2611773899089762</v>
      </c>
      <c r="U49">
        <f t="shared" si="5"/>
        <v>-3.3863071200967796</v>
      </c>
    </row>
    <row r="50" spans="1:21">
      <c r="A50">
        <f t="shared" si="6"/>
        <v>49</v>
      </c>
      <c r="B50" s="2">
        <f t="shared" si="7"/>
        <v>26</v>
      </c>
      <c r="C50" s="3">
        <v>43327</v>
      </c>
      <c r="D50" s="4">
        <v>8.6226851854007691E-2</v>
      </c>
      <c r="E50" s="5">
        <v>-8.23</v>
      </c>
      <c r="F50" s="5">
        <v>116.6</v>
      </c>
      <c r="G50" s="36">
        <v>4.5999999999999996</v>
      </c>
      <c r="H50" s="5">
        <v>10</v>
      </c>
      <c r="I50" s="41" t="s">
        <v>10</v>
      </c>
      <c r="J50" s="45" t="s">
        <v>14</v>
      </c>
      <c r="K50">
        <v>290</v>
      </c>
      <c r="L50">
        <f t="shared" si="3"/>
        <v>3</v>
      </c>
      <c r="M50">
        <v>192.58708677294078</v>
      </c>
      <c r="N50">
        <v>192.84653481898042</v>
      </c>
      <c r="O50">
        <f t="shared" si="8"/>
        <v>0</v>
      </c>
      <c r="P50">
        <f t="shared" si="9"/>
        <v>1</v>
      </c>
      <c r="Q50">
        <f t="shared" si="10"/>
        <v>-4.8929999999999998</v>
      </c>
      <c r="R50">
        <v>0</v>
      </c>
      <c r="S50">
        <f t="shared" si="4"/>
        <v>-2.0418293910038918</v>
      </c>
      <c r="T50">
        <v>-3.1658091859603932</v>
      </c>
      <c r="U50">
        <f t="shared" si="5"/>
        <v>-1.1239797949565014</v>
      </c>
    </row>
    <row r="51" spans="1:21">
      <c r="A51">
        <f t="shared" si="6"/>
        <v>50</v>
      </c>
      <c r="B51" s="2">
        <f t="shared" si="7"/>
        <v>26</v>
      </c>
      <c r="C51" s="3">
        <v>43327</v>
      </c>
      <c r="D51" s="4">
        <v>8.6226851854007691E-2</v>
      </c>
      <c r="E51" s="5">
        <v>-8.23</v>
      </c>
      <c r="F51" s="5">
        <v>116.6</v>
      </c>
      <c r="G51" s="36">
        <v>4.5999999999999996</v>
      </c>
      <c r="H51" s="5">
        <v>10</v>
      </c>
      <c r="I51" s="41" t="s">
        <v>10</v>
      </c>
      <c r="J51" s="45" t="s">
        <v>19</v>
      </c>
      <c r="K51">
        <v>283</v>
      </c>
      <c r="L51">
        <f t="shared" si="3"/>
        <v>3</v>
      </c>
      <c r="M51">
        <v>94.763350515534441</v>
      </c>
      <c r="N51">
        <v>95.289519890332343</v>
      </c>
      <c r="O51">
        <f t="shared" si="8"/>
        <v>0</v>
      </c>
      <c r="P51">
        <f t="shared" si="9"/>
        <v>1</v>
      </c>
      <c r="Q51">
        <f t="shared" si="10"/>
        <v>-4.8929999999999998</v>
      </c>
      <c r="R51">
        <v>0</v>
      </c>
      <c r="S51">
        <f t="shared" si="4"/>
        <v>-1.1953364550811858</v>
      </c>
      <c r="T51">
        <v>-3.4938130027656373</v>
      </c>
      <c r="U51">
        <f t="shared" si="5"/>
        <v>-2.2984765476844515</v>
      </c>
    </row>
    <row r="52" spans="1:21">
      <c r="A52">
        <f t="shared" si="6"/>
        <v>51</v>
      </c>
      <c r="B52" s="2">
        <f t="shared" si="7"/>
        <v>26</v>
      </c>
      <c r="C52" s="3">
        <v>43327</v>
      </c>
      <c r="D52" s="4">
        <v>8.6226851854007691E-2</v>
      </c>
      <c r="E52" s="5">
        <v>-8.23</v>
      </c>
      <c r="F52" s="5">
        <v>116.6</v>
      </c>
      <c r="G52" s="36">
        <v>4.5999999999999996</v>
      </c>
      <c r="H52" s="5">
        <v>10</v>
      </c>
      <c r="I52" s="41" t="s">
        <v>10</v>
      </c>
      <c r="J52" s="45" t="s">
        <v>17</v>
      </c>
      <c r="K52">
        <v>1141</v>
      </c>
      <c r="L52">
        <f t="shared" si="3"/>
        <v>1</v>
      </c>
      <c r="M52">
        <v>64.561395361687786</v>
      </c>
      <c r="N52">
        <v>65.331261820419186</v>
      </c>
      <c r="O52">
        <f t="shared" si="8"/>
        <v>0</v>
      </c>
      <c r="P52">
        <f t="shared" si="9"/>
        <v>1</v>
      </c>
      <c r="Q52">
        <f t="shared" si="10"/>
        <v>-5.431</v>
      </c>
      <c r="R52">
        <v>0</v>
      </c>
      <c r="S52">
        <f t="shared" si="4"/>
        <v>-1.3135594571363507</v>
      </c>
      <c r="T52">
        <v>-4.2682196480744707</v>
      </c>
      <c r="U52">
        <f t="shared" si="5"/>
        <v>-2.95466019093812</v>
      </c>
    </row>
    <row r="53" spans="1:21">
      <c r="A53">
        <f t="shared" si="6"/>
        <v>52</v>
      </c>
      <c r="B53" s="2">
        <f t="shared" si="7"/>
        <v>27</v>
      </c>
      <c r="C53" s="3">
        <v>43329</v>
      </c>
      <c r="D53" s="4">
        <v>0.34803240741166519</v>
      </c>
      <c r="E53" s="5">
        <v>-8.3800000000000008</v>
      </c>
      <c r="F53" s="5">
        <v>116.53</v>
      </c>
      <c r="G53" s="36">
        <v>4.3</v>
      </c>
      <c r="H53" s="5">
        <v>10</v>
      </c>
      <c r="I53" s="41" t="s">
        <v>10</v>
      </c>
      <c r="J53" s="45" t="s">
        <v>19</v>
      </c>
      <c r="K53">
        <v>283</v>
      </c>
      <c r="L53">
        <f t="shared" si="3"/>
        <v>3</v>
      </c>
      <c r="M53">
        <v>98.832364451782198</v>
      </c>
      <c r="N53">
        <v>99.336983360327082</v>
      </c>
      <c r="O53">
        <f t="shared" si="8"/>
        <v>0</v>
      </c>
      <c r="P53">
        <f t="shared" si="9"/>
        <v>1</v>
      </c>
      <c r="Q53">
        <f t="shared" si="10"/>
        <v>-4.8929999999999998</v>
      </c>
      <c r="R53">
        <v>0</v>
      </c>
      <c r="S53">
        <f t="shared" si="4"/>
        <v>-1.7694833966863706</v>
      </c>
      <c r="T53">
        <v>-4.2882223153813195</v>
      </c>
      <c r="U53">
        <f t="shared" si="5"/>
        <v>-2.5187389186949489</v>
      </c>
    </row>
    <row r="54" spans="1:21">
      <c r="A54">
        <f t="shared" si="6"/>
        <v>53</v>
      </c>
      <c r="B54" s="2">
        <f t="shared" si="7"/>
        <v>28</v>
      </c>
      <c r="C54" s="3">
        <v>43331</v>
      </c>
      <c r="D54" s="4">
        <v>0.17098379629896954</v>
      </c>
      <c r="E54" s="5">
        <v>-8.2899999999999991</v>
      </c>
      <c r="F54" s="5">
        <v>116.62</v>
      </c>
      <c r="G54" s="36">
        <v>5.3</v>
      </c>
      <c r="H54" s="5">
        <v>10</v>
      </c>
      <c r="I54" s="41" t="s">
        <v>10</v>
      </c>
      <c r="J54" s="45" t="s">
        <v>19</v>
      </c>
      <c r="K54">
        <v>283</v>
      </c>
      <c r="L54">
        <f t="shared" si="3"/>
        <v>3</v>
      </c>
      <c r="M54">
        <v>90.807039760856895</v>
      </c>
      <c r="N54">
        <v>91.355998544867575</v>
      </c>
      <c r="O54">
        <f t="shared" si="8"/>
        <v>0</v>
      </c>
      <c r="P54">
        <f t="shared" si="9"/>
        <v>1</v>
      </c>
      <c r="Q54">
        <f t="shared" si="10"/>
        <v>-4.8929999999999998</v>
      </c>
      <c r="R54">
        <v>0</v>
      </c>
      <c r="S54">
        <f t="shared" si="4"/>
        <v>7.9663087269266519E-2</v>
      </c>
      <c r="T54">
        <v>0.91427121858292648</v>
      </c>
      <c r="U54">
        <f t="shared" si="5"/>
        <v>0.83460813131365996</v>
      </c>
    </row>
    <row r="55" spans="1:21">
      <c r="A55">
        <f t="shared" si="6"/>
        <v>54</v>
      </c>
      <c r="B55" s="2">
        <f t="shared" si="7"/>
        <v>28</v>
      </c>
      <c r="C55" s="3">
        <v>43331</v>
      </c>
      <c r="D55" s="4">
        <v>0.17098379629896954</v>
      </c>
      <c r="E55" s="5">
        <v>-8.2899999999999991</v>
      </c>
      <c r="F55" s="5">
        <v>116.62</v>
      </c>
      <c r="G55" s="36">
        <v>5.3</v>
      </c>
      <c r="H55" s="5">
        <v>10</v>
      </c>
      <c r="I55" s="41" t="s">
        <v>10</v>
      </c>
      <c r="J55" s="45" t="s">
        <v>17</v>
      </c>
      <c r="K55">
        <v>1141</v>
      </c>
      <c r="L55">
        <f t="shared" si="3"/>
        <v>1</v>
      </c>
      <c r="M55">
        <v>57.669099196433656</v>
      </c>
      <c r="N55">
        <v>58.529693337041373</v>
      </c>
      <c r="O55">
        <f t="shared" si="8"/>
        <v>0</v>
      </c>
      <c r="P55">
        <f t="shared" si="9"/>
        <v>1</v>
      </c>
      <c r="Q55">
        <f t="shared" si="10"/>
        <v>-5.431</v>
      </c>
      <c r="R55">
        <v>0</v>
      </c>
      <c r="S55">
        <f t="shared" si="4"/>
        <v>3.0699836354153298E-2</v>
      </c>
      <c r="T55">
        <v>-0.53802526603290424</v>
      </c>
      <c r="U55">
        <f t="shared" si="5"/>
        <v>-0.56872510238705754</v>
      </c>
    </row>
    <row r="56" spans="1:21">
      <c r="A56">
        <f t="shared" si="6"/>
        <v>55</v>
      </c>
      <c r="B56" s="2">
        <f t="shared" si="7"/>
        <v>29</v>
      </c>
      <c r="C56" s="24">
        <v>43331</v>
      </c>
      <c r="D56" s="4">
        <v>0.17386574074043892</v>
      </c>
      <c r="E56" s="5">
        <v>-8.24</v>
      </c>
      <c r="F56" s="5">
        <v>116.66</v>
      </c>
      <c r="G56" s="36">
        <v>6.3</v>
      </c>
      <c r="H56" s="5">
        <v>10</v>
      </c>
      <c r="I56" s="2" t="s">
        <v>10</v>
      </c>
      <c r="J56" s="45" t="s">
        <v>16</v>
      </c>
      <c r="K56">
        <v>770</v>
      </c>
      <c r="L56">
        <f t="shared" si="3"/>
        <v>1</v>
      </c>
      <c r="M56">
        <v>72.173831697702084</v>
      </c>
      <c r="N56">
        <v>72.863310259198542</v>
      </c>
      <c r="O56">
        <f t="shared" si="8"/>
        <v>0</v>
      </c>
      <c r="P56">
        <f t="shared" si="9"/>
        <v>1</v>
      </c>
      <c r="Q56">
        <f t="shared" si="10"/>
        <v>-5.431</v>
      </c>
      <c r="R56">
        <v>1</v>
      </c>
      <c r="S56">
        <f t="shared" si="4"/>
        <v>1.534394326857476</v>
      </c>
      <c r="T56">
        <v>-0.38857990313820912</v>
      </c>
      <c r="U56">
        <f t="shared" si="5"/>
        <v>-1.9229742299956851</v>
      </c>
    </row>
    <row r="57" spans="1:21">
      <c r="A57">
        <f t="shared" si="6"/>
        <v>56</v>
      </c>
      <c r="B57" s="2">
        <f t="shared" si="7"/>
        <v>29</v>
      </c>
      <c r="C57" s="3">
        <v>43331</v>
      </c>
      <c r="D57" s="4">
        <v>0.17386574074043892</v>
      </c>
      <c r="E57" s="5">
        <v>-8.24</v>
      </c>
      <c r="F57" s="5">
        <v>116.66</v>
      </c>
      <c r="G57" s="36">
        <v>6.3</v>
      </c>
      <c r="H57" s="5">
        <v>10</v>
      </c>
      <c r="I57" s="41" t="s">
        <v>10</v>
      </c>
      <c r="J57" s="45" t="s">
        <v>19</v>
      </c>
      <c r="K57">
        <v>283</v>
      </c>
      <c r="L57">
        <f t="shared" si="3"/>
        <v>3</v>
      </c>
      <c r="M57">
        <v>88.078759906858352</v>
      </c>
      <c r="N57">
        <v>88.644616005316408</v>
      </c>
      <c r="O57">
        <f t="shared" si="8"/>
        <v>0</v>
      </c>
      <c r="P57">
        <f t="shared" si="9"/>
        <v>1</v>
      </c>
      <c r="Q57">
        <f t="shared" si="10"/>
        <v>-4.8929999999999998</v>
      </c>
      <c r="R57">
        <v>0</v>
      </c>
      <c r="S57">
        <f t="shared" si="4"/>
        <v>1.8580059067501509</v>
      </c>
      <c r="T57">
        <v>0.64419400385469194</v>
      </c>
      <c r="U57">
        <f t="shared" si="5"/>
        <v>-1.213811902895459</v>
      </c>
    </row>
    <row r="58" spans="1:21">
      <c r="A58">
        <f t="shared" si="6"/>
        <v>57</v>
      </c>
      <c r="B58" s="2">
        <f t="shared" si="7"/>
        <v>29</v>
      </c>
      <c r="C58" s="3">
        <v>43331</v>
      </c>
      <c r="D58" s="4">
        <v>0.17386574074043892</v>
      </c>
      <c r="E58" s="5">
        <v>-8.24</v>
      </c>
      <c r="F58" s="5">
        <v>116.66</v>
      </c>
      <c r="G58" s="36">
        <v>6.3</v>
      </c>
      <c r="H58" s="5">
        <v>10</v>
      </c>
      <c r="I58" s="41" t="s">
        <v>10</v>
      </c>
      <c r="J58" s="45" t="s">
        <v>17</v>
      </c>
      <c r="K58">
        <v>1141</v>
      </c>
      <c r="L58">
        <f t="shared" si="3"/>
        <v>1</v>
      </c>
      <c r="M58">
        <v>60.586448333172122</v>
      </c>
      <c r="N58">
        <v>61.406170061551101</v>
      </c>
      <c r="O58">
        <f t="shared" si="8"/>
        <v>0</v>
      </c>
      <c r="P58">
        <f t="shared" si="9"/>
        <v>1</v>
      </c>
      <c r="Q58">
        <f t="shared" si="10"/>
        <v>-5.431</v>
      </c>
      <c r="R58">
        <v>0</v>
      </c>
      <c r="S58">
        <f t="shared" si="4"/>
        <v>1.7172428443277044</v>
      </c>
      <c r="T58">
        <v>1.1705735954713941</v>
      </c>
      <c r="U58">
        <f t="shared" si="5"/>
        <v>-0.5466692488563103</v>
      </c>
    </row>
    <row r="59" spans="1:21">
      <c r="A59">
        <f t="shared" si="6"/>
        <v>58</v>
      </c>
      <c r="B59" s="2">
        <f t="shared" si="7"/>
        <v>30</v>
      </c>
      <c r="C59" s="3">
        <v>43331</v>
      </c>
      <c r="D59" s="4">
        <v>0.68134259259386454</v>
      </c>
      <c r="E59" s="5">
        <v>-8.33</v>
      </c>
      <c r="F59" s="5">
        <v>116.92</v>
      </c>
      <c r="G59" s="36">
        <v>5</v>
      </c>
      <c r="H59" s="5">
        <v>10</v>
      </c>
      <c r="I59" s="41" t="s">
        <v>10</v>
      </c>
      <c r="J59" s="45" t="s">
        <v>19</v>
      </c>
      <c r="K59">
        <v>283</v>
      </c>
      <c r="L59">
        <f t="shared" si="3"/>
        <v>3</v>
      </c>
      <c r="M59">
        <v>57.516438882548499</v>
      </c>
      <c r="N59">
        <v>58.379283497915054</v>
      </c>
      <c r="O59">
        <f t="shared" si="8"/>
        <v>0</v>
      </c>
      <c r="P59">
        <f t="shared" si="9"/>
        <v>1</v>
      </c>
      <c r="Q59">
        <f t="shared" si="10"/>
        <v>-4.8929999999999998</v>
      </c>
      <c r="R59">
        <v>0</v>
      </c>
      <c r="S59">
        <f t="shared" si="4"/>
        <v>4.7045298601558372E-2</v>
      </c>
      <c r="T59">
        <v>-2.889799465438649</v>
      </c>
      <c r="U59">
        <f t="shared" si="5"/>
        <v>-2.9368447640402073</v>
      </c>
    </row>
    <row r="60" spans="1:21">
      <c r="A60">
        <f t="shared" si="6"/>
        <v>59</v>
      </c>
      <c r="B60" s="2">
        <f t="shared" si="7"/>
        <v>31</v>
      </c>
      <c r="C60" s="3">
        <v>43331</v>
      </c>
      <c r="D60" s="4">
        <v>0.76291666666666658</v>
      </c>
      <c r="E60" s="5">
        <v>-8.23</v>
      </c>
      <c r="F60" s="5">
        <v>116.6</v>
      </c>
      <c r="G60" s="36">
        <v>4.8</v>
      </c>
      <c r="H60" s="5">
        <v>10</v>
      </c>
      <c r="I60" s="41" t="s">
        <v>10</v>
      </c>
      <c r="J60" s="45" t="s">
        <v>13</v>
      </c>
      <c r="K60">
        <v>386</v>
      </c>
      <c r="L60">
        <f t="shared" si="3"/>
        <v>2</v>
      </c>
      <c r="M60">
        <v>235.11317602344423</v>
      </c>
      <c r="N60">
        <v>235.32574347026096</v>
      </c>
      <c r="O60">
        <f t="shared" si="8"/>
        <v>0</v>
      </c>
      <c r="P60">
        <f t="shared" si="9"/>
        <v>1</v>
      </c>
      <c r="Q60">
        <f t="shared" si="10"/>
        <v>-5.0890000000000004</v>
      </c>
      <c r="R60">
        <v>0</v>
      </c>
      <c r="S60">
        <f t="shared" si="4"/>
        <v>-2.147560791594977</v>
      </c>
      <c r="T60">
        <v>-3.4167376628520083</v>
      </c>
      <c r="U60">
        <f t="shared" si="5"/>
        <v>-1.2691768712570313</v>
      </c>
    </row>
    <row r="61" spans="1:21">
      <c r="A61">
        <f t="shared" si="6"/>
        <v>60</v>
      </c>
      <c r="B61" s="2">
        <f t="shared" si="7"/>
        <v>32</v>
      </c>
      <c r="C61" s="3">
        <v>43331</v>
      </c>
      <c r="D61" s="4">
        <v>0.90616898148148151</v>
      </c>
      <c r="E61" s="5">
        <v>-8.2899999999999991</v>
      </c>
      <c r="F61" s="5">
        <v>116.56</v>
      </c>
      <c r="G61" s="36">
        <v>4.5</v>
      </c>
      <c r="H61" s="5">
        <v>10</v>
      </c>
      <c r="I61" s="41" t="s">
        <v>10</v>
      </c>
      <c r="J61" s="45" t="s">
        <v>19</v>
      </c>
      <c r="K61">
        <v>283</v>
      </c>
      <c r="L61">
        <f t="shared" si="3"/>
        <v>3</v>
      </c>
      <c r="M61">
        <v>97.287891794045379</v>
      </c>
      <c r="N61">
        <v>97.800480007666025</v>
      </c>
      <c r="O61">
        <f t="shared" si="8"/>
        <v>0</v>
      </c>
      <c r="P61">
        <f t="shared" si="9"/>
        <v>1</v>
      </c>
      <c r="Q61">
        <f t="shared" si="10"/>
        <v>-4.8929999999999998</v>
      </c>
      <c r="R61">
        <v>0</v>
      </c>
      <c r="S61">
        <f t="shared" si="4"/>
        <v>-1.4004868092702876</v>
      </c>
      <c r="T61">
        <v>-2.5881340891172955</v>
      </c>
      <c r="U61">
        <f t="shared" si="5"/>
        <v>-1.1876472798470079</v>
      </c>
    </row>
    <row r="62" spans="1:21">
      <c r="A62">
        <f t="shared" si="6"/>
        <v>61</v>
      </c>
      <c r="B62" s="2">
        <f t="shared" si="7"/>
        <v>33</v>
      </c>
      <c r="C62" s="3">
        <v>43331</v>
      </c>
      <c r="D62" s="4">
        <v>0.97910879629629621</v>
      </c>
      <c r="E62" s="5">
        <v>-8.17</v>
      </c>
      <c r="F62" s="5">
        <v>116.51</v>
      </c>
      <c r="G62" s="36">
        <v>4.7</v>
      </c>
      <c r="H62" s="5">
        <v>10</v>
      </c>
      <c r="I62" s="41" t="s">
        <v>10</v>
      </c>
      <c r="J62" s="45" t="s">
        <v>13</v>
      </c>
      <c r="K62">
        <v>386</v>
      </c>
      <c r="L62">
        <f t="shared" si="3"/>
        <v>2</v>
      </c>
      <c r="M62">
        <v>246.0405833277724</v>
      </c>
      <c r="N62">
        <v>246.243717979303</v>
      </c>
      <c r="O62">
        <f t="shared" si="8"/>
        <v>0</v>
      </c>
      <c r="P62">
        <f t="shared" si="9"/>
        <v>1</v>
      </c>
      <c r="Q62">
        <f t="shared" si="10"/>
        <v>-5.0890000000000004</v>
      </c>
      <c r="R62">
        <v>1</v>
      </c>
      <c r="S62">
        <f t="shared" si="4"/>
        <v>-2.3846056803203104</v>
      </c>
      <c r="T62">
        <v>-5.0239484001114185</v>
      </c>
      <c r="U62">
        <f t="shared" si="5"/>
        <v>-2.6393427197911081</v>
      </c>
    </row>
    <row r="63" spans="1:21">
      <c r="A63">
        <f t="shared" si="6"/>
        <v>62</v>
      </c>
      <c r="B63" s="2">
        <f t="shared" si="7"/>
        <v>33</v>
      </c>
      <c r="C63" s="18">
        <v>43331</v>
      </c>
      <c r="D63" s="19">
        <v>0.97910879629629621</v>
      </c>
      <c r="E63" s="20">
        <v>-8.17</v>
      </c>
      <c r="F63" s="20">
        <v>116.51</v>
      </c>
      <c r="G63" s="36">
        <v>4.7</v>
      </c>
      <c r="H63" s="5">
        <v>10</v>
      </c>
      <c r="I63" s="2" t="s">
        <v>10</v>
      </c>
      <c r="J63" s="45" t="s">
        <v>16</v>
      </c>
      <c r="K63">
        <v>770</v>
      </c>
      <c r="L63">
        <f t="shared" si="3"/>
        <v>1</v>
      </c>
      <c r="M63">
        <v>71.029525733797968</v>
      </c>
      <c r="N63">
        <v>71.730004363364344</v>
      </c>
      <c r="O63">
        <f t="shared" si="8"/>
        <v>0</v>
      </c>
      <c r="P63">
        <f t="shared" si="9"/>
        <v>1</v>
      </c>
      <c r="Q63">
        <f t="shared" si="10"/>
        <v>-5.431</v>
      </c>
      <c r="R63">
        <v>1</v>
      </c>
      <c r="S63">
        <f t="shared" si="4"/>
        <v>-1.2405535666785834</v>
      </c>
      <c r="T63">
        <v>-4.4564584336919264</v>
      </c>
      <c r="U63">
        <f t="shared" si="5"/>
        <v>-3.215904867013343</v>
      </c>
    </row>
    <row r="64" spans="1:21">
      <c r="A64">
        <f t="shared" si="6"/>
        <v>63</v>
      </c>
      <c r="B64" s="2">
        <f t="shared" si="7"/>
        <v>33</v>
      </c>
      <c r="C64" s="3">
        <v>43331</v>
      </c>
      <c r="D64" s="4">
        <v>0.97910879629629621</v>
      </c>
      <c r="E64" s="5">
        <v>-8.17</v>
      </c>
      <c r="F64" s="5">
        <v>116.51</v>
      </c>
      <c r="G64" s="36">
        <v>4.7</v>
      </c>
      <c r="H64" s="5">
        <v>10</v>
      </c>
      <c r="I64" s="41" t="s">
        <v>10</v>
      </c>
      <c r="J64" s="45" t="s">
        <v>17</v>
      </c>
      <c r="K64">
        <v>1141</v>
      </c>
      <c r="L64">
        <f t="shared" si="3"/>
        <v>1</v>
      </c>
      <c r="M64">
        <v>75.443494535765566</v>
      </c>
      <c r="N64">
        <v>76.103356481617084</v>
      </c>
      <c r="O64">
        <f t="shared" si="8"/>
        <v>0</v>
      </c>
      <c r="P64">
        <f t="shared" si="9"/>
        <v>1</v>
      </c>
      <c r="Q64">
        <f t="shared" si="10"/>
        <v>-5.431</v>
      </c>
      <c r="R64">
        <v>1</v>
      </c>
      <c r="S64">
        <f t="shared" si="4"/>
        <v>-1.3058503125618941</v>
      </c>
      <c r="T64">
        <v>-4.6246945520025324</v>
      </c>
      <c r="U64">
        <f t="shared" si="5"/>
        <v>-3.3188442394406383</v>
      </c>
    </row>
    <row r="65" spans="1:21">
      <c r="A65">
        <f t="shared" si="6"/>
        <v>64</v>
      </c>
      <c r="B65" s="2">
        <f t="shared" si="7"/>
        <v>34</v>
      </c>
      <c r="C65" s="3">
        <v>43332</v>
      </c>
      <c r="D65" s="4">
        <v>6.2870370370370368E-2</v>
      </c>
      <c r="E65" s="5">
        <v>-8.27</v>
      </c>
      <c r="F65" s="5">
        <v>116.73</v>
      </c>
      <c r="G65" s="36">
        <v>5.0999999999999996</v>
      </c>
      <c r="H65" s="5">
        <v>10</v>
      </c>
      <c r="I65" s="41" t="s">
        <v>10</v>
      </c>
      <c r="J65" s="45" t="s">
        <v>14</v>
      </c>
      <c r="K65">
        <v>290</v>
      </c>
      <c r="L65">
        <f t="shared" si="3"/>
        <v>3</v>
      </c>
      <c r="M65">
        <v>177.63849874835083</v>
      </c>
      <c r="N65">
        <v>177.91974662068245</v>
      </c>
      <c r="O65">
        <f t="shared" si="8"/>
        <v>0</v>
      </c>
      <c r="P65">
        <f t="shared" si="9"/>
        <v>1</v>
      </c>
      <c r="Q65">
        <f t="shared" si="10"/>
        <v>-4.8929999999999998</v>
      </c>
      <c r="R65">
        <v>0</v>
      </c>
      <c r="S65">
        <f t="shared" si="4"/>
        <v>-1.0613202108229287</v>
      </c>
      <c r="T65">
        <v>-2.229617121901768</v>
      </c>
      <c r="U65">
        <f t="shared" si="5"/>
        <v>-1.1682969110788393</v>
      </c>
    </row>
    <row r="66" spans="1:21">
      <c r="A66">
        <f t="shared" si="6"/>
        <v>65</v>
      </c>
      <c r="B66" s="2">
        <f t="shared" si="7"/>
        <v>34</v>
      </c>
      <c r="C66" s="18">
        <v>43332</v>
      </c>
      <c r="D66" s="19">
        <v>6.2870370370370368E-2</v>
      </c>
      <c r="E66" s="20">
        <v>-8.27</v>
      </c>
      <c r="F66" s="20">
        <v>116.73</v>
      </c>
      <c r="G66" s="36">
        <v>5.0999999999999996</v>
      </c>
      <c r="H66" s="20">
        <v>10</v>
      </c>
      <c r="I66" s="2" t="s">
        <v>10</v>
      </c>
      <c r="J66" s="45" t="s">
        <v>16</v>
      </c>
      <c r="K66">
        <v>770</v>
      </c>
      <c r="L66">
        <f t="shared" si="3"/>
        <v>1</v>
      </c>
      <c r="M66">
        <v>74.49554657433103</v>
      </c>
      <c r="N66">
        <v>75.163731010430311</v>
      </c>
      <c r="O66">
        <f t="shared" ref="O66:O97" si="11">IF(H66&lt;15,0,1)</f>
        <v>0</v>
      </c>
      <c r="P66">
        <f t="shared" ref="P66:P97" si="12">IF(I66="reverse",1,0)</f>
        <v>1</v>
      </c>
      <c r="Q66">
        <f t="shared" ref="Q66:Q97" si="13">IF(L66=1,$W$8,IF(L66=2,$W$9,$W$10))</f>
        <v>-5.431</v>
      </c>
      <c r="R66">
        <v>1</v>
      </c>
      <c r="S66">
        <f t="shared" si="4"/>
        <v>-0.59116081014788691</v>
      </c>
      <c r="T66">
        <v>-3.9315473714425875</v>
      </c>
      <c r="U66">
        <f t="shared" si="5"/>
        <v>-3.3403865612947006</v>
      </c>
    </row>
    <row r="67" spans="1:21">
      <c r="A67">
        <f t="shared" si="6"/>
        <v>66</v>
      </c>
      <c r="B67" s="2">
        <f t="shared" si="7"/>
        <v>34</v>
      </c>
      <c r="C67" s="3">
        <v>43332</v>
      </c>
      <c r="D67" s="4">
        <v>6.2870370370370368E-2</v>
      </c>
      <c r="E67" s="5">
        <v>-8.27</v>
      </c>
      <c r="F67" s="5">
        <v>116.73</v>
      </c>
      <c r="G67" s="36">
        <v>5.0999999999999996</v>
      </c>
      <c r="H67" s="5">
        <v>10</v>
      </c>
      <c r="I67" s="41" t="s">
        <v>10</v>
      </c>
      <c r="J67" s="45" t="s">
        <v>19</v>
      </c>
      <c r="K67">
        <v>283</v>
      </c>
      <c r="L67">
        <f t="shared" ref="L67:L130" si="14">IF(K67&gt;600,1,IF(AND(K67&lt;=600,K67&gt;300),2,3))</f>
        <v>3</v>
      </c>
      <c r="M67">
        <v>79.652811637316844</v>
      </c>
      <c r="N67">
        <v>80.278081701856067</v>
      </c>
      <c r="O67">
        <f t="shared" si="11"/>
        <v>0</v>
      </c>
      <c r="P67">
        <f t="shared" si="12"/>
        <v>1</v>
      </c>
      <c r="Q67">
        <f t="shared" si="13"/>
        <v>-4.8929999999999998</v>
      </c>
      <c r="R67">
        <v>0</v>
      </c>
      <c r="S67">
        <f t="shared" ref="S67:S130" si="15">$W$2*G67+$W$3*N67-LN(N67+($W$4*EXP($W$5*G67)))+$W$6*(H67-15)*O67+$W$7*P67+Q67</f>
        <v>-0.12600520147621541</v>
      </c>
      <c r="T67">
        <v>-2.568438618913758</v>
      </c>
      <c r="U67">
        <f t="shared" ref="U67:U130" si="16">T67-S67</f>
        <v>-2.4424334174375426</v>
      </c>
    </row>
    <row r="68" spans="1:21">
      <c r="A68">
        <f t="shared" ref="A68:A131" si="17">A67+1</f>
        <v>67</v>
      </c>
      <c r="B68" s="2">
        <f t="shared" si="7"/>
        <v>34</v>
      </c>
      <c r="C68" s="3">
        <v>43332</v>
      </c>
      <c r="D68" s="4">
        <v>6.2870370370370368E-2</v>
      </c>
      <c r="E68" s="5">
        <v>-8.27</v>
      </c>
      <c r="F68" s="5">
        <v>116.73</v>
      </c>
      <c r="G68" s="36">
        <v>5.0999999999999996</v>
      </c>
      <c r="H68" s="5">
        <v>10</v>
      </c>
      <c r="I68" s="41" t="s">
        <v>10</v>
      </c>
      <c r="J68" s="45" t="s">
        <v>17</v>
      </c>
      <c r="K68">
        <v>1141</v>
      </c>
      <c r="L68">
        <f t="shared" si="14"/>
        <v>1</v>
      </c>
      <c r="M68">
        <v>54.678992298396473</v>
      </c>
      <c r="N68">
        <v>55.585899280016157</v>
      </c>
      <c r="O68">
        <f t="shared" si="11"/>
        <v>0</v>
      </c>
      <c r="P68">
        <f t="shared" si="12"/>
        <v>1</v>
      </c>
      <c r="Q68">
        <f t="shared" si="13"/>
        <v>-5.431</v>
      </c>
      <c r="R68">
        <v>0</v>
      </c>
      <c r="S68">
        <f t="shared" si="15"/>
        <v>-0.26341025193605194</v>
      </c>
      <c r="T68">
        <v>-2.670687059987229</v>
      </c>
      <c r="U68">
        <f t="shared" si="16"/>
        <v>-2.4072768080511771</v>
      </c>
    </row>
    <row r="69" spans="1:21">
      <c r="A69">
        <f t="shared" si="17"/>
        <v>68</v>
      </c>
      <c r="B69" s="2">
        <f t="shared" si="7"/>
        <v>35</v>
      </c>
      <c r="C69" s="3">
        <v>43332</v>
      </c>
      <c r="D69" s="4">
        <v>0.43858796296296299</v>
      </c>
      <c r="E69" s="5">
        <v>-8.23</v>
      </c>
      <c r="F69" s="5">
        <v>116.47</v>
      </c>
      <c r="G69" s="36">
        <v>5</v>
      </c>
      <c r="H69" s="5">
        <v>10</v>
      </c>
      <c r="I69" s="41" t="s">
        <v>10</v>
      </c>
      <c r="J69" s="45" t="s">
        <v>14</v>
      </c>
      <c r="K69">
        <v>290</v>
      </c>
      <c r="L69">
        <f t="shared" si="14"/>
        <v>3</v>
      </c>
      <c r="M69">
        <v>206.86371328942161</v>
      </c>
      <c r="N69">
        <v>207.10527727677058</v>
      </c>
      <c r="O69">
        <f t="shared" si="11"/>
        <v>0</v>
      </c>
      <c r="P69">
        <f t="shared" si="12"/>
        <v>1</v>
      </c>
      <c r="Q69">
        <f t="shared" si="13"/>
        <v>-4.8929999999999998</v>
      </c>
      <c r="R69">
        <v>1</v>
      </c>
      <c r="S69">
        <f t="shared" si="15"/>
        <v>-1.4312671092111109</v>
      </c>
      <c r="T69">
        <v>-2.3698145514108164</v>
      </c>
      <c r="U69">
        <f t="shared" si="16"/>
        <v>-0.93854744219970554</v>
      </c>
    </row>
    <row r="70" spans="1:21">
      <c r="A70">
        <f t="shared" si="17"/>
        <v>69</v>
      </c>
      <c r="B70" s="2">
        <f t="shared" si="7"/>
        <v>36</v>
      </c>
      <c r="C70" s="18">
        <v>43336</v>
      </c>
      <c r="D70" s="19">
        <v>4.763888888888889E-2</v>
      </c>
      <c r="E70" s="20">
        <v>-8.26</v>
      </c>
      <c r="F70" s="20">
        <v>116.14</v>
      </c>
      <c r="G70" s="36">
        <v>4.4000000000000004</v>
      </c>
      <c r="H70" s="20">
        <v>10</v>
      </c>
      <c r="I70" s="2" t="s">
        <v>10</v>
      </c>
      <c r="J70" s="45" t="s">
        <v>16</v>
      </c>
      <c r="K70">
        <v>770</v>
      </c>
      <c r="L70">
        <f t="shared" si="14"/>
        <v>1</v>
      </c>
      <c r="M70">
        <v>58.306907947928202</v>
      </c>
      <c r="N70">
        <v>59.158224402429227</v>
      </c>
      <c r="O70">
        <f t="shared" si="11"/>
        <v>0</v>
      </c>
      <c r="P70">
        <f t="shared" si="12"/>
        <v>1</v>
      </c>
      <c r="Q70">
        <f t="shared" si="13"/>
        <v>-5.431</v>
      </c>
      <c r="R70">
        <v>1</v>
      </c>
      <c r="S70">
        <f t="shared" si="15"/>
        <v>-1.5564843226118552</v>
      </c>
      <c r="T70">
        <v>-4.4458573298666249</v>
      </c>
      <c r="U70">
        <f t="shared" si="16"/>
        <v>-2.8893730072547696</v>
      </c>
    </row>
    <row r="71" spans="1:21">
      <c r="A71">
        <f t="shared" si="17"/>
        <v>70</v>
      </c>
      <c r="B71" s="2">
        <f t="shared" ref="B71:B134" si="18">IF(D71=D70,B70,B70+1)</f>
        <v>36</v>
      </c>
      <c r="C71" s="3">
        <v>43336</v>
      </c>
      <c r="D71" s="4">
        <v>4.763888888888889E-2</v>
      </c>
      <c r="E71" s="5">
        <v>-8.26</v>
      </c>
      <c r="F71" s="5">
        <v>116.14</v>
      </c>
      <c r="G71" s="36">
        <v>4.4000000000000004</v>
      </c>
      <c r="H71" s="5">
        <v>10</v>
      </c>
      <c r="I71" s="41" t="s">
        <v>10</v>
      </c>
      <c r="J71" s="45" t="s">
        <v>19</v>
      </c>
      <c r="K71">
        <v>283</v>
      </c>
      <c r="L71">
        <f t="shared" si="14"/>
        <v>3</v>
      </c>
      <c r="M71">
        <v>143.68082400490985</v>
      </c>
      <c r="N71">
        <v>144.02839715392892</v>
      </c>
      <c r="O71">
        <f t="shared" si="11"/>
        <v>0</v>
      </c>
      <c r="P71">
        <f t="shared" si="12"/>
        <v>1</v>
      </c>
      <c r="Q71">
        <f t="shared" si="13"/>
        <v>-4.8929999999999998</v>
      </c>
      <c r="R71">
        <v>1</v>
      </c>
      <c r="S71">
        <f t="shared" si="15"/>
        <v>-2.0301502752669891</v>
      </c>
      <c r="T71">
        <v>-4.5770394621003705</v>
      </c>
      <c r="U71">
        <f t="shared" si="16"/>
        <v>-2.5468891868333814</v>
      </c>
    </row>
    <row r="72" spans="1:21">
      <c r="A72">
        <f t="shared" si="17"/>
        <v>71</v>
      </c>
      <c r="B72" s="2">
        <f t="shared" si="18"/>
        <v>36</v>
      </c>
      <c r="C72" s="3">
        <v>43336</v>
      </c>
      <c r="D72" s="4">
        <v>4.763888888888889E-2</v>
      </c>
      <c r="E72" s="5">
        <v>-8.26</v>
      </c>
      <c r="F72" s="5">
        <v>116.14</v>
      </c>
      <c r="G72" s="36">
        <v>4.4000000000000004</v>
      </c>
      <c r="H72" s="5">
        <v>10</v>
      </c>
      <c r="I72" s="41" t="s">
        <v>10</v>
      </c>
      <c r="J72" s="45" t="s">
        <v>17</v>
      </c>
      <c r="K72">
        <v>1141</v>
      </c>
      <c r="L72">
        <f t="shared" si="14"/>
        <v>1</v>
      </c>
      <c r="M72">
        <v>98.06698322263297</v>
      </c>
      <c r="N72">
        <v>98.575520279571322</v>
      </c>
      <c r="O72">
        <f t="shared" si="11"/>
        <v>0</v>
      </c>
      <c r="P72">
        <f t="shared" si="12"/>
        <v>1</v>
      </c>
      <c r="Q72">
        <f t="shared" si="13"/>
        <v>-5.431</v>
      </c>
      <c r="R72">
        <v>1</v>
      </c>
      <c r="S72">
        <f t="shared" si="15"/>
        <v>-2.1230761676330334</v>
      </c>
      <c r="T72">
        <v>-5.3382527298226057</v>
      </c>
      <c r="U72">
        <f t="shared" si="16"/>
        <v>-3.2151765621895723</v>
      </c>
    </row>
    <row r="73" spans="1:21">
      <c r="A73">
        <f t="shared" si="17"/>
        <v>72</v>
      </c>
      <c r="B73" s="2">
        <f t="shared" si="18"/>
        <v>37</v>
      </c>
      <c r="C73" s="18">
        <v>43337</v>
      </c>
      <c r="D73" s="19">
        <v>0.46883101851851849</v>
      </c>
      <c r="E73" s="20">
        <v>-8.2799999999999994</v>
      </c>
      <c r="F73" s="20">
        <v>116.16</v>
      </c>
      <c r="G73" s="36">
        <v>3.5</v>
      </c>
      <c r="H73" s="20">
        <v>10</v>
      </c>
      <c r="I73" s="2" t="s">
        <v>10</v>
      </c>
      <c r="J73" s="45" t="s">
        <v>16</v>
      </c>
      <c r="K73">
        <v>770</v>
      </c>
      <c r="L73">
        <f t="shared" si="14"/>
        <v>1</v>
      </c>
      <c r="M73">
        <v>55.597799097160255</v>
      </c>
      <c r="N73">
        <v>56.489957199914691</v>
      </c>
      <c r="O73">
        <f t="shared" si="11"/>
        <v>0</v>
      </c>
      <c r="P73">
        <f t="shared" si="12"/>
        <v>1</v>
      </c>
      <c r="Q73">
        <f t="shared" si="13"/>
        <v>-5.431</v>
      </c>
      <c r="R73">
        <v>1</v>
      </c>
      <c r="S73">
        <f t="shared" si="15"/>
        <v>-3.0866484529226885</v>
      </c>
      <c r="T73">
        <v>-6.5807060547166056</v>
      </c>
      <c r="U73">
        <f t="shared" si="16"/>
        <v>-3.4940576017939171</v>
      </c>
    </row>
    <row r="74" spans="1:21">
      <c r="A74">
        <f t="shared" si="17"/>
        <v>73</v>
      </c>
      <c r="B74" s="2">
        <f t="shared" si="18"/>
        <v>38</v>
      </c>
      <c r="C74" s="18">
        <v>43338</v>
      </c>
      <c r="D74" s="19">
        <v>6.4780092592592597E-2</v>
      </c>
      <c r="E74" s="20">
        <v>-8.5500000000000007</v>
      </c>
      <c r="F74" s="20">
        <v>116.93</v>
      </c>
      <c r="G74" s="36">
        <v>5.4</v>
      </c>
      <c r="H74" s="20">
        <v>11</v>
      </c>
      <c r="I74" s="2" t="s">
        <v>10</v>
      </c>
      <c r="J74" s="45" t="s">
        <v>16</v>
      </c>
      <c r="K74">
        <v>770</v>
      </c>
      <c r="L74">
        <f t="shared" si="14"/>
        <v>1</v>
      </c>
      <c r="M74">
        <v>76.217387166239277</v>
      </c>
      <c r="N74">
        <v>77.007078287962699</v>
      </c>
      <c r="O74">
        <f t="shared" si="11"/>
        <v>0</v>
      </c>
      <c r="P74">
        <f t="shared" si="12"/>
        <v>1</v>
      </c>
      <c r="Q74">
        <f t="shared" si="13"/>
        <v>-5.431</v>
      </c>
      <c r="R74">
        <v>0</v>
      </c>
      <c r="S74">
        <f t="shared" si="15"/>
        <v>-9.2972956194932621E-2</v>
      </c>
      <c r="T74">
        <v>-1.2866820686372304</v>
      </c>
      <c r="U74">
        <f t="shared" si="16"/>
        <v>-1.1937091124422978</v>
      </c>
    </row>
    <row r="75" spans="1:21">
      <c r="A75">
        <f t="shared" si="17"/>
        <v>74</v>
      </c>
      <c r="B75" s="2">
        <f t="shared" si="18"/>
        <v>38</v>
      </c>
      <c r="C75" s="3">
        <v>43338</v>
      </c>
      <c r="D75" s="4">
        <v>6.4780092592592597E-2</v>
      </c>
      <c r="E75" s="5">
        <v>-8.5500000000000007</v>
      </c>
      <c r="F75" s="5">
        <v>116.93</v>
      </c>
      <c r="G75" s="36">
        <v>5.4</v>
      </c>
      <c r="H75" s="5">
        <v>11</v>
      </c>
      <c r="I75" s="41" t="s">
        <v>10</v>
      </c>
      <c r="J75" s="45" t="s">
        <v>19</v>
      </c>
      <c r="K75">
        <v>283</v>
      </c>
      <c r="L75">
        <f t="shared" si="14"/>
        <v>3</v>
      </c>
      <c r="M75">
        <v>54.101593478657179</v>
      </c>
      <c r="N75">
        <v>55.208535725283284</v>
      </c>
      <c r="O75">
        <f t="shared" si="11"/>
        <v>0</v>
      </c>
      <c r="P75">
        <f t="shared" si="12"/>
        <v>1</v>
      </c>
      <c r="Q75">
        <f t="shared" si="13"/>
        <v>-4.8929999999999998</v>
      </c>
      <c r="R75">
        <v>0</v>
      </c>
      <c r="S75">
        <f t="shared" si="15"/>
        <v>0.80574466760493557</v>
      </c>
      <c r="T75">
        <v>-0.24565966254292812</v>
      </c>
      <c r="U75">
        <f t="shared" si="16"/>
        <v>-1.0514043301478637</v>
      </c>
    </row>
    <row r="76" spans="1:21">
      <c r="A76">
        <f t="shared" si="17"/>
        <v>75</v>
      </c>
      <c r="B76" s="2">
        <f t="shared" si="18"/>
        <v>38</v>
      </c>
      <c r="C76" s="3">
        <v>43338</v>
      </c>
      <c r="D76" s="4">
        <v>6.4780092592592597E-2</v>
      </c>
      <c r="E76" s="20">
        <v>-8.5500000000000007</v>
      </c>
      <c r="F76" s="20">
        <v>116.93</v>
      </c>
      <c r="G76" s="36">
        <v>5.4</v>
      </c>
      <c r="H76" s="5">
        <v>11</v>
      </c>
      <c r="I76" s="41" t="s">
        <v>10</v>
      </c>
      <c r="J76" s="45" t="s">
        <v>17</v>
      </c>
      <c r="K76">
        <v>1141</v>
      </c>
      <c r="L76">
        <f t="shared" si="14"/>
        <v>1</v>
      </c>
      <c r="M76">
        <v>21.567600659509985</v>
      </c>
      <c r="N76">
        <v>24.210770293571734</v>
      </c>
      <c r="O76">
        <f t="shared" si="11"/>
        <v>0</v>
      </c>
      <c r="P76">
        <f t="shared" si="12"/>
        <v>1</v>
      </c>
      <c r="Q76">
        <f t="shared" si="13"/>
        <v>-5.431</v>
      </c>
      <c r="R76">
        <v>0</v>
      </c>
      <c r="S76">
        <f t="shared" si="15"/>
        <v>1.1192677098746495</v>
      </c>
      <c r="T76">
        <v>0.44361477886413908</v>
      </c>
      <c r="U76">
        <f t="shared" si="16"/>
        <v>-0.67565293101051038</v>
      </c>
    </row>
    <row r="77" spans="1:21">
      <c r="A77">
        <f t="shared" si="17"/>
        <v>76</v>
      </c>
      <c r="B77" s="2">
        <f t="shared" si="18"/>
        <v>39</v>
      </c>
      <c r="C77" s="3">
        <v>43343</v>
      </c>
      <c r="D77" s="4">
        <v>0.1092013888888889</v>
      </c>
      <c r="E77" s="5">
        <v>-8.3699999999999992</v>
      </c>
      <c r="F77" s="5">
        <v>116.06</v>
      </c>
      <c r="G77" s="36">
        <v>4.8</v>
      </c>
      <c r="H77" s="5">
        <v>10</v>
      </c>
      <c r="I77" s="41" t="s">
        <v>10</v>
      </c>
      <c r="J77" s="45" t="s">
        <v>19</v>
      </c>
      <c r="K77">
        <v>283</v>
      </c>
      <c r="L77">
        <f t="shared" si="14"/>
        <v>3</v>
      </c>
      <c r="M77">
        <v>150.88889346446217</v>
      </c>
      <c r="N77">
        <v>151.21990004933153</v>
      </c>
      <c r="O77">
        <f t="shared" si="11"/>
        <v>0</v>
      </c>
      <c r="P77">
        <f t="shared" si="12"/>
        <v>1</v>
      </c>
      <c r="Q77">
        <f t="shared" si="13"/>
        <v>-4.8929999999999998</v>
      </c>
      <c r="R77">
        <v>1</v>
      </c>
      <c r="S77">
        <f t="shared" si="15"/>
        <v>-1.3867232724622434</v>
      </c>
      <c r="T77">
        <v>-3.9071522893578714</v>
      </c>
      <c r="U77">
        <f t="shared" si="16"/>
        <v>-2.520429016895628</v>
      </c>
    </row>
    <row r="78" spans="1:21">
      <c r="A78">
        <f t="shared" si="17"/>
        <v>77</v>
      </c>
      <c r="B78" s="2">
        <f t="shared" si="18"/>
        <v>39</v>
      </c>
      <c r="C78" s="3">
        <v>43343</v>
      </c>
      <c r="D78" s="4">
        <v>0.1092013888888889</v>
      </c>
      <c r="E78" s="20">
        <v>-8.3699999999999992</v>
      </c>
      <c r="F78" s="20">
        <v>116.06</v>
      </c>
      <c r="G78" s="36">
        <v>4.8</v>
      </c>
      <c r="H78" s="5">
        <v>10</v>
      </c>
      <c r="I78" s="41" t="s">
        <v>10</v>
      </c>
      <c r="J78" s="45" t="s">
        <v>17</v>
      </c>
      <c r="K78">
        <v>1141</v>
      </c>
      <c r="L78">
        <f t="shared" si="14"/>
        <v>1</v>
      </c>
      <c r="M78">
        <v>100.06290501663518</v>
      </c>
      <c r="N78">
        <v>100.56134923701131</v>
      </c>
      <c r="O78">
        <f t="shared" si="11"/>
        <v>0</v>
      </c>
      <c r="P78">
        <f t="shared" si="12"/>
        <v>1</v>
      </c>
      <c r="Q78">
        <f t="shared" si="13"/>
        <v>-5.431</v>
      </c>
      <c r="R78">
        <v>1</v>
      </c>
      <c r="S78">
        <f t="shared" si="15"/>
        <v>-1.4437433002089457</v>
      </c>
      <c r="T78">
        <v>-3.9828406658301381</v>
      </c>
      <c r="U78">
        <f t="shared" si="16"/>
        <v>-2.5390973656211924</v>
      </c>
    </row>
    <row r="79" spans="1:21">
      <c r="A79">
        <f t="shared" si="17"/>
        <v>78</v>
      </c>
      <c r="B79" s="2">
        <f t="shared" si="18"/>
        <v>40</v>
      </c>
      <c r="C79" s="3">
        <v>43346</v>
      </c>
      <c r="D79" s="4">
        <v>6.4386574074074068E-2</v>
      </c>
      <c r="E79" s="5">
        <v>-8.17</v>
      </c>
      <c r="F79" s="5">
        <v>116.84</v>
      </c>
      <c r="G79" s="36">
        <v>4</v>
      </c>
      <c r="H79" s="5">
        <v>10</v>
      </c>
      <c r="I79" s="41" t="s">
        <v>10</v>
      </c>
      <c r="J79" s="45" t="s">
        <v>14</v>
      </c>
      <c r="K79">
        <v>290</v>
      </c>
      <c r="L79">
        <f t="shared" si="14"/>
        <v>3</v>
      </c>
      <c r="M79">
        <v>167.64476863286811</v>
      </c>
      <c r="N79">
        <v>167.94275349049116</v>
      </c>
      <c r="O79">
        <f t="shared" si="11"/>
        <v>0</v>
      </c>
      <c r="P79">
        <f t="shared" si="12"/>
        <v>1</v>
      </c>
      <c r="Q79">
        <f t="shared" si="13"/>
        <v>-4.8929999999999998</v>
      </c>
      <c r="R79">
        <v>0</v>
      </c>
      <c r="S79">
        <f t="shared" si="15"/>
        <v>-2.9216480860835028</v>
      </c>
      <c r="T79">
        <v>-4.485878683703393</v>
      </c>
      <c r="U79">
        <f t="shared" si="16"/>
        <v>-1.5642305976198903</v>
      </c>
    </row>
    <row r="80" spans="1:21">
      <c r="A80">
        <f t="shared" si="17"/>
        <v>79</v>
      </c>
      <c r="B80" s="2">
        <f t="shared" si="18"/>
        <v>40</v>
      </c>
      <c r="C80" s="3">
        <v>43346</v>
      </c>
      <c r="D80" s="4">
        <v>6.4386574074074068E-2</v>
      </c>
      <c r="E80" s="5">
        <v>-8.17</v>
      </c>
      <c r="F80" s="5">
        <v>116.84</v>
      </c>
      <c r="G80" s="36">
        <v>4</v>
      </c>
      <c r="H80" s="5">
        <v>10</v>
      </c>
      <c r="I80" s="41" t="s">
        <v>10</v>
      </c>
      <c r="J80" s="45" t="s">
        <v>17</v>
      </c>
      <c r="K80">
        <v>1141</v>
      </c>
      <c r="L80">
        <f t="shared" si="14"/>
        <v>1</v>
      </c>
      <c r="M80">
        <v>63.28816253904116</v>
      </c>
      <c r="N80">
        <v>64.073329221822803</v>
      </c>
      <c r="O80">
        <f t="shared" si="11"/>
        <v>0</v>
      </c>
      <c r="P80">
        <f t="shared" si="12"/>
        <v>1</v>
      </c>
      <c r="Q80">
        <f t="shared" si="13"/>
        <v>-5.431</v>
      </c>
      <c r="R80">
        <v>0</v>
      </c>
      <c r="S80">
        <f t="shared" si="15"/>
        <v>-2.3452250203739662</v>
      </c>
      <c r="T80">
        <v>-4.8478381033167421</v>
      </c>
      <c r="U80">
        <f t="shared" si="16"/>
        <v>-2.502613082942776</v>
      </c>
    </row>
    <row r="81" spans="1:21">
      <c r="A81">
        <f t="shared" si="17"/>
        <v>80</v>
      </c>
      <c r="B81" s="2">
        <f t="shared" si="18"/>
        <v>41</v>
      </c>
      <c r="C81" s="25">
        <v>43346</v>
      </c>
      <c r="D81" s="26">
        <v>0.8206134259259259</v>
      </c>
      <c r="E81" s="27">
        <v>-8.2799999999999994</v>
      </c>
      <c r="F81" s="27">
        <v>116.12</v>
      </c>
      <c r="G81" s="36">
        <v>3.8</v>
      </c>
      <c r="H81" s="27">
        <v>12</v>
      </c>
      <c r="I81" s="2" t="s">
        <v>10</v>
      </c>
      <c r="J81" s="45" t="s">
        <v>16</v>
      </c>
      <c r="K81">
        <v>770</v>
      </c>
      <c r="L81">
        <f t="shared" si="14"/>
        <v>1</v>
      </c>
      <c r="M81">
        <v>56.817893431278847</v>
      </c>
      <c r="N81">
        <v>58.071275291387906</v>
      </c>
      <c r="O81">
        <f t="shared" si="11"/>
        <v>0</v>
      </c>
      <c r="P81">
        <f t="shared" si="12"/>
        <v>1</v>
      </c>
      <c r="Q81">
        <f t="shared" si="13"/>
        <v>-5.431</v>
      </c>
      <c r="R81">
        <v>1</v>
      </c>
      <c r="S81">
        <f t="shared" si="15"/>
        <v>-2.5895409825040772</v>
      </c>
      <c r="T81">
        <v>-6.3779735006625238</v>
      </c>
      <c r="U81">
        <f t="shared" si="16"/>
        <v>-3.7884325181584466</v>
      </c>
    </row>
    <row r="82" spans="1:21">
      <c r="A82">
        <f t="shared" si="17"/>
        <v>81</v>
      </c>
      <c r="B82" s="2">
        <f t="shared" si="18"/>
        <v>42</v>
      </c>
      <c r="C82" s="25">
        <v>43347</v>
      </c>
      <c r="D82" s="26">
        <v>0.43399305555794854</v>
      </c>
      <c r="E82" s="5">
        <v>-8.49</v>
      </c>
      <c r="F82" s="5">
        <v>116.93</v>
      </c>
      <c r="G82" s="36">
        <v>3.8</v>
      </c>
      <c r="H82" s="5">
        <v>10</v>
      </c>
      <c r="I82" s="2" t="s">
        <v>10</v>
      </c>
      <c r="J82" s="45" t="s">
        <v>16</v>
      </c>
      <c r="K82">
        <v>770</v>
      </c>
      <c r="L82">
        <f t="shared" si="14"/>
        <v>1</v>
      </c>
      <c r="M82">
        <v>78.572321998070137</v>
      </c>
      <c r="N82">
        <v>79.206122138180817</v>
      </c>
      <c r="O82">
        <f t="shared" si="11"/>
        <v>0</v>
      </c>
      <c r="P82">
        <f t="shared" si="12"/>
        <v>1</v>
      </c>
      <c r="Q82">
        <f t="shared" si="13"/>
        <v>-5.431</v>
      </c>
      <c r="R82">
        <v>0</v>
      </c>
      <c r="S82">
        <f t="shared" si="15"/>
        <v>-2.9302705753623148</v>
      </c>
      <c r="T82">
        <v>-6.2341324644366329</v>
      </c>
      <c r="U82">
        <f t="shared" si="16"/>
        <v>-3.3038618890743181</v>
      </c>
    </row>
    <row r="83" spans="1:21">
      <c r="A83">
        <f t="shared" si="17"/>
        <v>82</v>
      </c>
      <c r="B83" s="2">
        <f t="shared" si="18"/>
        <v>43</v>
      </c>
      <c r="C83" s="3">
        <v>43349</v>
      </c>
      <c r="D83" s="4">
        <v>0.2382986111115315</v>
      </c>
      <c r="E83" s="5">
        <v>-8.2899999999999991</v>
      </c>
      <c r="F83" s="5">
        <v>116.99</v>
      </c>
      <c r="G83" s="36">
        <v>5</v>
      </c>
      <c r="H83" s="5">
        <v>10</v>
      </c>
      <c r="I83" s="41" t="s">
        <v>10</v>
      </c>
      <c r="J83" s="45" t="s">
        <v>14</v>
      </c>
      <c r="K83">
        <v>290</v>
      </c>
      <c r="L83">
        <f t="shared" si="14"/>
        <v>3</v>
      </c>
      <c r="M83">
        <v>148.74898529807919</v>
      </c>
      <c r="N83">
        <v>149.08474310675851</v>
      </c>
      <c r="O83">
        <f t="shared" si="11"/>
        <v>0</v>
      </c>
      <c r="P83">
        <f t="shared" si="12"/>
        <v>1</v>
      </c>
      <c r="Q83">
        <f t="shared" si="13"/>
        <v>-4.8929999999999998</v>
      </c>
      <c r="R83">
        <v>0</v>
      </c>
      <c r="S83">
        <f t="shared" si="15"/>
        <v>-1.0182727034652062</v>
      </c>
      <c r="T83">
        <v>-2.1079419979090313</v>
      </c>
      <c r="U83">
        <f t="shared" si="16"/>
        <v>-1.0896692944438251</v>
      </c>
    </row>
    <row r="84" spans="1:21">
      <c r="A84">
        <f t="shared" si="17"/>
        <v>83</v>
      </c>
      <c r="B84" s="2">
        <f t="shared" si="18"/>
        <v>44</v>
      </c>
      <c r="C84" s="3">
        <v>43350</v>
      </c>
      <c r="D84" s="4">
        <v>0.67680555555853061</v>
      </c>
      <c r="E84" s="5">
        <v>-8.26</v>
      </c>
      <c r="F84" s="5">
        <v>116.66</v>
      </c>
      <c r="G84" s="36">
        <v>4.9000000000000004</v>
      </c>
      <c r="H84" s="5">
        <v>10</v>
      </c>
      <c r="I84" s="41" t="s">
        <v>10</v>
      </c>
      <c r="J84" s="45" t="s">
        <v>15</v>
      </c>
      <c r="K84">
        <v>210</v>
      </c>
      <c r="L84">
        <f t="shared" si="14"/>
        <v>3</v>
      </c>
      <c r="M84">
        <v>70.821365178451273</v>
      </c>
      <c r="N84">
        <v>71.523882485080122</v>
      </c>
      <c r="O84">
        <f t="shared" si="11"/>
        <v>0</v>
      </c>
      <c r="P84">
        <f t="shared" si="12"/>
        <v>1</v>
      </c>
      <c r="Q84">
        <f t="shared" si="13"/>
        <v>-4.8929999999999998</v>
      </c>
      <c r="R84">
        <v>1</v>
      </c>
      <c r="S84">
        <f t="shared" si="15"/>
        <v>-0.34883970990182789</v>
      </c>
      <c r="T84">
        <v>-3.0373370874613173</v>
      </c>
      <c r="U84">
        <f t="shared" si="16"/>
        <v>-2.6884973775594894</v>
      </c>
    </row>
    <row r="85" spans="1:21">
      <c r="A85">
        <f t="shared" si="17"/>
        <v>84</v>
      </c>
      <c r="B85" s="2">
        <f t="shared" si="18"/>
        <v>44</v>
      </c>
      <c r="C85" s="3">
        <v>43350</v>
      </c>
      <c r="D85" s="4">
        <v>0.67680555555853061</v>
      </c>
      <c r="E85" s="5">
        <v>-8.26</v>
      </c>
      <c r="F85" s="5">
        <v>116.66</v>
      </c>
      <c r="G85" s="36">
        <v>4.9000000000000004</v>
      </c>
      <c r="H85" s="5">
        <v>10</v>
      </c>
      <c r="I85" s="41" t="s">
        <v>10</v>
      </c>
      <c r="J85" s="45" t="s">
        <v>19</v>
      </c>
      <c r="K85">
        <v>283</v>
      </c>
      <c r="L85">
        <f t="shared" si="14"/>
        <v>3</v>
      </c>
      <c r="M85">
        <v>87.409156199622487</v>
      </c>
      <c r="N85">
        <v>87.979319089942962</v>
      </c>
      <c r="O85">
        <f t="shared" si="11"/>
        <v>0</v>
      </c>
      <c r="P85">
        <f t="shared" si="12"/>
        <v>1</v>
      </c>
      <c r="Q85">
        <f t="shared" si="13"/>
        <v>-4.8929999999999998</v>
      </c>
      <c r="R85">
        <v>0</v>
      </c>
      <c r="S85">
        <f t="shared" si="15"/>
        <v>-0.57883713598191999</v>
      </c>
      <c r="T85">
        <v>-3.1208641297929001</v>
      </c>
      <c r="U85">
        <f t="shared" si="16"/>
        <v>-2.5420269938109801</v>
      </c>
    </row>
    <row r="86" spans="1:21">
      <c r="A86">
        <f t="shared" si="17"/>
        <v>85</v>
      </c>
      <c r="B86" s="2">
        <f t="shared" si="18"/>
        <v>45</v>
      </c>
      <c r="C86" s="3">
        <v>43352</v>
      </c>
      <c r="D86" s="4">
        <v>0.16221064815181307</v>
      </c>
      <c r="E86" s="5">
        <v>-8.1300000000000008</v>
      </c>
      <c r="F86" s="5">
        <v>116.58</v>
      </c>
      <c r="G86" s="36">
        <v>4.7</v>
      </c>
      <c r="H86" s="5">
        <v>5</v>
      </c>
      <c r="I86" s="41" t="s">
        <v>10</v>
      </c>
      <c r="J86" s="45" t="s">
        <v>14</v>
      </c>
      <c r="K86">
        <v>290</v>
      </c>
      <c r="L86">
        <f t="shared" si="14"/>
        <v>3</v>
      </c>
      <c r="M86">
        <v>196.8111840223722</v>
      </c>
      <c r="N86">
        <v>196.87468642841836</v>
      </c>
      <c r="O86">
        <f t="shared" si="11"/>
        <v>0</v>
      </c>
      <c r="P86">
        <f t="shared" si="12"/>
        <v>1</v>
      </c>
      <c r="Q86">
        <f t="shared" si="13"/>
        <v>-4.8929999999999998</v>
      </c>
      <c r="R86">
        <v>1</v>
      </c>
      <c r="S86">
        <f t="shared" si="15"/>
        <v>-1.8926810855747607</v>
      </c>
      <c r="T86">
        <v>-3.9241030651957121</v>
      </c>
      <c r="U86">
        <f t="shared" si="16"/>
        <v>-2.0314219796209514</v>
      </c>
    </row>
    <row r="87" spans="1:21">
      <c r="A87">
        <f t="shared" si="17"/>
        <v>86</v>
      </c>
      <c r="B87" s="2">
        <f t="shared" si="18"/>
        <v>45</v>
      </c>
      <c r="C87" s="3">
        <v>43352</v>
      </c>
      <c r="D87" s="4">
        <v>0.16221064815181307</v>
      </c>
      <c r="E87" s="5">
        <v>-8.1300000000000008</v>
      </c>
      <c r="F87" s="5">
        <v>116.58</v>
      </c>
      <c r="G87" s="36">
        <v>4.7</v>
      </c>
      <c r="H87" s="5">
        <v>5</v>
      </c>
      <c r="I87" s="41" t="s">
        <v>10</v>
      </c>
      <c r="J87" s="45" t="s">
        <v>15</v>
      </c>
      <c r="K87">
        <v>210</v>
      </c>
      <c r="L87">
        <f t="shared" si="14"/>
        <v>3</v>
      </c>
      <c r="M87">
        <v>71.928133474305866</v>
      </c>
      <c r="N87">
        <v>72.101708614273207</v>
      </c>
      <c r="O87">
        <f t="shared" si="11"/>
        <v>0</v>
      </c>
      <c r="P87">
        <f t="shared" si="12"/>
        <v>1</v>
      </c>
      <c r="Q87">
        <f t="shared" si="13"/>
        <v>-4.8929999999999998</v>
      </c>
      <c r="R87">
        <v>1</v>
      </c>
      <c r="S87">
        <f t="shared" si="15"/>
        <v>-0.708240299403184</v>
      </c>
      <c r="T87">
        <v>-3.8816247039577294</v>
      </c>
      <c r="U87">
        <f t="shared" si="16"/>
        <v>-3.1733844045545454</v>
      </c>
    </row>
    <row r="88" spans="1:21">
      <c r="A88">
        <f t="shared" si="17"/>
        <v>87</v>
      </c>
      <c r="B88" s="2">
        <f t="shared" si="18"/>
        <v>45</v>
      </c>
      <c r="C88" s="3">
        <v>43352</v>
      </c>
      <c r="D88" s="4">
        <v>0.16221064815181307</v>
      </c>
      <c r="E88" s="5">
        <v>-8.1300000000000008</v>
      </c>
      <c r="F88" s="5">
        <v>116.58</v>
      </c>
      <c r="G88" s="36">
        <v>4.7</v>
      </c>
      <c r="H88" s="5">
        <v>5</v>
      </c>
      <c r="I88" s="41" t="s">
        <v>10</v>
      </c>
      <c r="J88" s="45" t="s">
        <v>19</v>
      </c>
      <c r="K88">
        <v>283</v>
      </c>
      <c r="L88">
        <f t="shared" si="14"/>
        <v>3</v>
      </c>
      <c r="M88">
        <v>100.73119085035158</v>
      </c>
      <c r="N88">
        <v>100.85520715426622</v>
      </c>
      <c r="O88">
        <f t="shared" si="11"/>
        <v>0</v>
      </c>
      <c r="P88">
        <f t="shared" si="12"/>
        <v>1</v>
      </c>
      <c r="Q88">
        <f t="shared" si="13"/>
        <v>-4.8929999999999998</v>
      </c>
      <c r="R88">
        <v>1</v>
      </c>
      <c r="S88">
        <f t="shared" si="15"/>
        <v>-1.0845587983662317</v>
      </c>
      <c r="T88">
        <v>-3.9119370148659467</v>
      </c>
      <c r="U88">
        <f t="shared" si="16"/>
        <v>-2.827378216499715</v>
      </c>
    </row>
    <row r="89" spans="1:21">
      <c r="A89">
        <f t="shared" si="17"/>
        <v>88</v>
      </c>
      <c r="B89" s="2">
        <f t="shared" si="18"/>
        <v>46</v>
      </c>
      <c r="C89" s="3">
        <v>43353</v>
      </c>
      <c r="D89" s="4">
        <v>0.11822916667006211</v>
      </c>
      <c r="E89" s="5">
        <v>-8.16</v>
      </c>
      <c r="F89" s="5">
        <v>116.6</v>
      </c>
      <c r="G89" s="36">
        <v>4.9000000000000004</v>
      </c>
      <c r="H89" s="5">
        <v>10</v>
      </c>
      <c r="I89" s="41" t="s">
        <v>10</v>
      </c>
      <c r="J89" s="45" t="s">
        <v>14</v>
      </c>
      <c r="K89">
        <v>290</v>
      </c>
      <c r="L89">
        <f t="shared" si="14"/>
        <v>3</v>
      </c>
      <c r="M89">
        <v>193.95907906707598</v>
      </c>
      <c r="N89">
        <v>194.21669431989679</v>
      </c>
      <c r="O89">
        <f t="shared" si="11"/>
        <v>0</v>
      </c>
      <c r="P89">
        <f t="shared" si="12"/>
        <v>1</v>
      </c>
      <c r="Q89">
        <f t="shared" si="13"/>
        <v>-4.8929999999999998</v>
      </c>
      <c r="R89">
        <v>0</v>
      </c>
      <c r="S89">
        <f t="shared" si="15"/>
        <v>-1.5238708992675565</v>
      </c>
      <c r="T89">
        <v>-3.2640468380764172</v>
      </c>
      <c r="U89">
        <f t="shared" si="16"/>
        <v>-1.7401759388088607</v>
      </c>
    </row>
    <row r="90" spans="1:21">
      <c r="A90">
        <f t="shared" si="17"/>
        <v>89</v>
      </c>
      <c r="B90" s="2">
        <f t="shared" si="18"/>
        <v>46</v>
      </c>
      <c r="C90" s="3">
        <v>43353</v>
      </c>
      <c r="D90" s="4">
        <v>0.11822916667006211</v>
      </c>
      <c r="E90" s="5">
        <v>-8.16</v>
      </c>
      <c r="F90" s="5">
        <v>116.6</v>
      </c>
      <c r="G90" s="36">
        <v>4.9000000000000004</v>
      </c>
      <c r="H90" s="5">
        <v>10</v>
      </c>
      <c r="I90" s="41" t="s">
        <v>10</v>
      </c>
      <c r="J90" s="45" t="s">
        <v>15</v>
      </c>
      <c r="K90">
        <v>210</v>
      </c>
      <c r="L90">
        <f t="shared" si="14"/>
        <v>3</v>
      </c>
      <c r="M90">
        <v>71.45004970385618</v>
      </c>
      <c r="N90">
        <v>72.146445530486943</v>
      </c>
      <c r="O90">
        <f t="shared" si="11"/>
        <v>0</v>
      </c>
      <c r="P90">
        <f t="shared" si="12"/>
        <v>1</v>
      </c>
      <c r="Q90">
        <f t="shared" si="13"/>
        <v>-4.8929999999999998</v>
      </c>
      <c r="R90">
        <v>1</v>
      </c>
      <c r="S90">
        <f t="shared" si="15"/>
        <v>-0.35836327363480702</v>
      </c>
      <c r="T90">
        <v>-3.2767057420685624</v>
      </c>
      <c r="U90">
        <f t="shared" si="16"/>
        <v>-2.9183424684337553</v>
      </c>
    </row>
    <row r="91" spans="1:21">
      <c r="A91">
        <f t="shared" si="17"/>
        <v>90</v>
      </c>
      <c r="B91" s="2">
        <f t="shared" si="18"/>
        <v>46</v>
      </c>
      <c r="C91" s="3">
        <v>43353</v>
      </c>
      <c r="D91" s="4">
        <v>0.11822916667006211</v>
      </c>
      <c r="E91" s="5">
        <v>-8.16</v>
      </c>
      <c r="F91" s="5">
        <v>116.6</v>
      </c>
      <c r="G91" s="36">
        <v>4.9000000000000004</v>
      </c>
      <c r="H91" s="5">
        <v>10</v>
      </c>
      <c r="I91" s="41" t="s">
        <v>10</v>
      </c>
      <c r="J91" s="45" t="s">
        <v>19</v>
      </c>
      <c r="K91">
        <v>283</v>
      </c>
      <c r="L91">
        <f t="shared" si="14"/>
        <v>3</v>
      </c>
      <c r="M91">
        <v>97.398208788098572</v>
      </c>
      <c r="N91">
        <v>97.910219462168712</v>
      </c>
      <c r="O91">
        <f t="shared" si="11"/>
        <v>0</v>
      </c>
      <c r="P91">
        <f t="shared" si="12"/>
        <v>1</v>
      </c>
      <c r="Q91">
        <f t="shared" si="13"/>
        <v>-4.8929999999999998</v>
      </c>
      <c r="R91">
        <v>0</v>
      </c>
      <c r="S91">
        <f t="shared" si="15"/>
        <v>-0.69982765143083903</v>
      </c>
      <c r="T91">
        <v>-3.2643758936986917</v>
      </c>
      <c r="U91">
        <f t="shared" si="16"/>
        <v>-2.5645482422678527</v>
      </c>
    </row>
    <row r="92" spans="1:21">
      <c r="A92">
        <f t="shared" si="17"/>
        <v>91</v>
      </c>
      <c r="B92" s="2">
        <f t="shared" si="18"/>
        <v>47</v>
      </c>
      <c r="C92" s="3">
        <v>43353</v>
      </c>
      <c r="D92" s="4">
        <v>0.32589120370539604</v>
      </c>
      <c r="E92" s="5">
        <v>-8.1199999999999992</v>
      </c>
      <c r="F92" s="5">
        <v>116.46</v>
      </c>
      <c r="G92" s="36">
        <v>4.5</v>
      </c>
      <c r="H92" s="5">
        <v>10</v>
      </c>
      <c r="I92" s="41" t="s">
        <v>10</v>
      </c>
      <c r="J92" s="45" t="s">
        <v>14</v>
      </c>
      <c r="K92">
        <v>290</v>
      </c>
      <c r="L92">
        <f t="shared" si="14"/>
        <v>3</v>
      </c>
      <c r="M92">
        <v>210.08629900607102</v>
      </c>
      <c r="N92">
        <v>210.32416178382425</v>
      </c>
      <c r="O92">
        <f t="shared" si="11"/>
        <v>0</v>
      </c>
      <c r="P92">
        <f t="shared" si="12"/>
        <v>1</v>
      </c>
      <c r="Q92">
        <f t="shared" si="13"/>
        <v>-4.8929999999999998</v>
      </c>
      <c r="R92">
        <v>1</v>
      </c>
      <c r="S92">
        <f t="shared" si="15"/>
        <v>-2.3298579665497603</v>
      </c>
      <c r="T92">
        <v>-3.750094624597903</v>
      </c>
      <c r="U92">
        <f t="shared" si="16"/>
        <v>-1.4202366580481427</v>
      </c>
    </row>
    <row r="93" spans="1:21">
      <c r="A93">
        <f t="shared" si="17"/>
        <v>92</v>
      </c>
      <c r="B93" s="2">
        <f t="shared" si="18"/>
        <v>47</v>
      </c>
      <c r="C93" s="3">
        <v>43353</v>
      </c>
      <c r="D93" s="4">
        <v>0.32589120370539604</v>
      </c>
      <c r="E93" s="5">
        <v>-8.1199999999999992</v>
      </c>
      <c r="F93" s="5">
        <v>116.46</v>
      </c>
      <c r="G93" s="36">
        <v>4.5</v>
      </c>
      <c r="H93" s="5">
        <v>10</v>
      </c>
      <c r="I93" s="41" t="s">
        <v>10</v>
      </c>
      <c r="J93" s="45" t="s">
        <v>19</v>
      </c>
      <c r="K93">
        <v>283</v>
      </c>
      <c r="L93">
        <f t="shared" si="14"/>
        <v>3</v>
      </c>
      <c r="M93">
        <v>113.49793514390502</v>
      </c>
      <c r="N93">
        <v>113.9376201345722</v>
      </c>
      <c r="O93">
        <f t="shared" si="11"/>
        <v>0</v>
      </c>
      <c r="P93">
        <f t="shared" si="12"/>
        <v>1</v>
      </c>
      <c r="Q93">
        <f t="shared" si="13"/>
        <v>-4.8929999999999998</v>
      </c>
      <c r="R93">
        <v>1</v>
      </c>
      <c r="S93">
        <f t="shared" si="15"/>
        <v>-1.5764646299009839</v>
      </c>
      <c r="T93">
        <v>-4.0128068361914746</v>
      </c>
      <c r="U93">
        <f t="shared" si="16"/>
        <v>-2.4363422062904907</v>
      </c>
    </row>
    <row r="94" spans="1:21">
      <c r="A94">
        <f t="shared" si="17"/>
        <v>93</v>
      </c>
      <c r="B94" s="2">
        <f t="shared" si="18"/>
        <v>48</v>
      </c>
      <c r="C94" s="3">
        <v>43354</v>
      </c>
      <c r="D94" s="4">
        <v>6.9502314814599231E-2</v>
      </c>
      <c r="E94" s="5">
        <v>-8.32</v>
      </c>
      <c r="F94" s="5">
        <v>116.19</v>
      </c>
      <c r="G94" s="36">
        <v>3.8</v>
      </c>
      <c r="H94" s="5">
        <v>10</v>
      </c>
      <c r="I94" s="41" t="s">
        <v>10</v>
      </c>
      <c r="J94" s="45" t="s">
        <v>15</v>
      </c>
      <c r="K94">
        <v>210</v>
      </c>
      <c r="L94">
        <f t="shared" si="14"/>
        <v>3</v>
      </c>
      <c r="M94">
        <v>28.931001680991574</v>
      </c>
      <c r="N94">
        <v>30.610502417724824</v>
      </c>
      <c r="O94">
        <f t="shared" si="11"/>
        <v>0</v>
      </c>
      <c r="P94">
        <f t="shared" si="12"/>
        <v>1</v>
      </c>
      <c r="Q94">
        <f t="shared" si="13"/>
        <v>-4.8929999999999998</v>
      </c>
      <c r="R94">
        <v>1</v>
      </c>
      <c r="S94">
        <f t="shared" si="15"/>
        <v>-1.3732661852478198</v>
      </c>
      <c r="T94">
        <v>-3.1759105396191529</v>
      </c>
      <c r="U94">
        <f t="shared" si="16"/>
        <v>-1.8026443543713331</v>
      </c>
    </row>
    <row r="95" spans="1:21">
      <c r="A95">
        <f t="shared" si="17"/>
        <v>94</v>
      </c>
      <c r="B95" s="2">
        <f t="shared" si="18"/>
        <v>49</v>
      </c>
      <c r="C95" s="3">
        <v>43357</v>
      </c>
      <c r="D95" s="4">
        <v>0.16467592593107838</v>
      </c>
      <c r="E95" s="5">
        <v>-8.16</v>
      </c>
      <c r="F95" s="5">
        <v>116.37</v>
      </c>
      <c r="G95" s="36">
        <v>4.2</v>
      </c>
      <c r="H95" s="5">
        <v>12</v>
      </c>
      <c r="I95" s="41" t="s">
        <v>10</v>
      </c>
      <c r="J95" s="45" t="s">
        <v>14</v>
      </c>
      <c r="K95">
        <v>290</v>
      </c>
      <c r="L95">
        <f t="shared" si="14"/>
        <v>3</v>
      </c>
      <c r="M95">
        <v>219.07442776542351</v>
      </c>
      <c r="N95">
        <v>219.40283703896759</v>
      </c>
      <c r="O95">
        <f t="shared" si="11"/>
        <v>0</v>
      </c>
      <c r="P95">
        <f t="shared" si="12"/>
        <v>1</v>
      </c>
      <c r="Q95">
        <f t="shared" si="13"/>
        <v>-4.8929999999999998</v>
      </c>
      <c r="R95">
        <v>1</v>
      </c>
      <c r="S95">
        <f t="shared" si="15"/>
        <v>-2.9127113687511028</v>
      </c>
      <c r="T95">
        <v>-4.5091386915208398</v>
      </c>
      <c r="U95">
        <f t="shared" si="16"/>
        <v>-1.596427322769737</v>
      </c>
    </row>
    <row r="96" spans="1:21">
      <c r="A96">
        <f t="shared" si="17"/>
        <v>95</v>
      </c>
      <c r="B96" s="2">
        <f t="shared" si="18"/>
        <v>49</v>
      </c>
      <c r="C96" s="3">
        <v>43357</v>
      </c>
      <c r="D96" s="4">
        <v>0.16467592593107838</v>
      </c>
      <c r="E96" s="5">
        <v>-8.16</v>
      </c>
      <c r="F96" s="5">
        <v>116.37</v>
      </c>
      <c r="G96" s="36">
        <v>4.2</v>
      </c>
      <c r="H96" s="5">
        <v>12</v>
      </c>
      <c r="I96" s="41" t="s">
        <v>10</v>
      </c>
      <c r="J96" s="45" t="s">
        <v>15</v>
      </c>
      <c r="K96">
        <v>210</v>
      </c>
      <c r="L96">
        <f t="shared" si="14"/>
        <v>3</v>
      </c>
      <c r="M96">
        <v>54.022115727964547</v>
      </c>
      <c r="N96">
        <v>55.33885603918457</v>
      </c>
      <c r="O96">
        <f t="shared" si="11"/>
        <v>0</v>
      </c>
      <c r="P96">
        <f t="shared" si="12"/>
        <v>1</v>
      </c>
      <c r="Q96">
        <f t="shared" si="13"/>
        <v>-4.8929999999999998</v>
      </c>
      <c r="R96">
        <v>1</v>
      </c>
      <c r="S96">
        <f t="shared" si="15"/>
        <v>-1.2972973680921114</v>
      </c>
      <c r="T96">
        <v>-4.2281982942377017</v>
      </c>
      <c r="U96">
        <f t="shared" si="16"/>
        <v>-2.9309009261455903</v>
      </c>
    </row>
    <row r="97" spans="1:21">
      <c r="A97">
        <f t="shared" si="17"/>
        <v>96</v>
      </c>
      <c r="B97" s="2">
        <f t="shared" si="18"/>
        <v>49</v>
      </c>
      <c r="C97" s="25">
        <v>43357</v>
      </c>
      <c r="D97" s="26">
        <v>0.16467592593107838</v>
      </c>
      <c r="E97" s="27">
        <v>-8.16</v>
      </c>
      <c r="F97" s="27">
        <v>116.37</v>
      </c>
      <c r="G97" s="36">
        <v>4.2</v>
      </c>
      <c r="H97" s="27">
        <v>12</v>
      </c>
      <c r="I97" s="2" t="s">
        <v>10</v>
      </c>
      <c r="J97" s="45" t="s">
        <v>16</v>
      </c>
      <c r="K97">
        <v>770</v>
      </c>
      <c r="L97">
        <f t="shared" si="14"/>
        <v>1</v>
      </c>
      <c r="M97">
        <v>68.094097247178624</v>
      </c>
      <c r="N97">
        <v>69.143373362226257</v>
      </c>
      <c r="O97">
        <f t="shared" si="11"/>
        <v>0</v>
      </c>
      <c r="P97">
        <f t="shared" si="12"/>
        <v>1</v>
      </c>
      <c r="Q97">
        <f t="shared" si="13"/>
        <v>-5.431</v>
      </c>
      <c r="R97">
        <v>1</v>
      </c>
      <c r="S97">
        <f t="shared" si="15"/>
        <v>-2.0774450915133902</v>
      </c>
      <c r="T97">
        <v>-5.4294135082195831</v>
      </c>
      <c r="U97">
        <f t="shared" si="16"/>
        <v>-3.3519684167061929</v>
      </c>
    </row>
    <row r="98" spans="1:21">
      <c r="A98">
        <f t="shared" si="17"/>
        <v>97</v>
      </c>
      <c r="B98" s="2">
        <f t="shared" si="18"/>
        <v>50</v>
      </c>
      <c r="C98" s="3">
        <v>43361</v>
      </c>
      <c r="D98" s="4">
        <v>0.73965277778188465</v>
      </c>
      <c r="E98" s="5">
        <v>-8.31</v>
      </c>
      <c r="F98" s="5">
        <v>116.08</v>
      </c>
      <c r="G98" s="36">
        <v>4.2</v>
      </c>
      <c r="H98" s="5">
        <v>10</v>
      </c>
      <c r="I98" s="41" t="s">
        <v>10</v>
      </c>
      <c r="J98" s="45" t="s">
        <v>19</v>
      </c>
      <c r="K98">
        <v>283</v>
      </c>
      <c r="L98">
        <f t="shared" si="14"/>
        <v>3</v>
      </c>
      <c r="M98">
        <v>149.41083072966944</v>
      </c>
      <c r="N98">
        <v>149.74510455881332</v>
      </c>
      <c r="O98">
        <f t="shared" ref="O98:O129" si="19">IF(H98&lt;15,0,1)</f>
        <v>0</v>
      </c>
      <c r="P98">
        <f t="shared" ref="P98:P129" si="20">IF(I98="reverse",1,0)</f>
        <v>1</v>
      </c>
      <c r="Q98">
        <f t="shared" ref="Q98:Q129" si="21">IF(L98=1,$W$8,IF(L98=2,$W$9,$W$10))</f>
        <v>-4.8929999999999998</v>
      </c>
      <c r="R98">
        <v>1</v>
      </c>
      <c r="S98">
        <f t="shared" si="15"/>
        <v>-2.4288414310193827</v>
      </c>
      <c r="T98">
        <v>-5.6848263201025784</v>
      </c>
      <c r="U98">
        <f t="shared" si="16"/>
        <v>-3.2559848890831957</v>
      </c>
    </row>
    <row r="99" spans="1:21">
      <c r="A99">
        <f t="shared" si="17"/>
        <v>98</v>
      </c>
      <c r="B99" s="2">
        <f t="shared" si="18"/>
        <v>51</v>
      </c>
      <c r="C99" s="3">
        <v>43364</v>
      </c>
      <c r="D99" s="4">
        <v>0.28790509259852115</v>
      </c>
      <c r="E99" s="5">
        <v>-8.32</v>
      </c>
      <c r="F99" s="5">
        <v>116.12</v>
      </c>
      <c r="G99" s="36">
        <v>3.5</v>
      </c>
      <c r="H99" s="5">
        <v>16</v>
      </c>
      <c r="I99" s="41" t="s">
        <v>10</v>
      </c>
      <c r="J99" s="45" t="s">
        <v>15</v>
      </c>
      <c r="K99">
        <v>210</v>
      </c>
      <c r="L99">
        <f t="shared" si="14"/>
        <v>3</v>
      </c>
      <c r="M99">
        <v>27.234821366102938</v>
      </c>
      <c r="N99">
        <v>31.586951338227262</v>
      </c>
      <c r="O99">
        <f t="shared" si="19"/>
        <v>1</v>
      </c>
      <c r="P99">
        <f t="shared" si="20"/>
        <v>1</v>
      </c>
      <c r="Q99">
        <f t="shared" si="21"/>
        <v>-4.8929999999999998</v>
      </c>
      <c r="R99">
        <v>1</v>
      </c>
      <c r="S99">
        <f t="shared" si="15"/>
        <v>-1.9258918578082023</v>
      </c>
      <c r="T99">
        <v>-5.405018426134867</v>
      </c>
      <c r="U99">
        <f t="shared" si="16"/>
        <v>-3.4791265683266648</v>
      </c>
    </row>
    <row r="100" spans="1:21">
      <c r="A100">
        <f t="shared" si="17"/>
        <v>99</v>
      </c>
      <c r="B100" s="2">
        <f t="shared" si="18"/>
        <v>51</v>
      </c>
      <c r="C100" s="25">
        <v>43364</v>
      </c>
      <c r="D100" s="26">
        <v>0.28790509259852115</v>
      </c>
      <c r="E100" s="27">
        <v>-8.32</v>
      </c>
      <c r="F100" s="27">
        <v>116.12</v>
      </c>
      <c r="G100" s="36">
        <v>3.5</v>
      </c>
      <c r="H100" s="27">
        <v>16</v>
      </c>
      <c r="I100" s="2" t="s">
        <v>10</v>
      </c>
      <c r="J100" s="45" t="s">
        <v>16</v>
      </c>
      <c r="K100">
        <v>770</v>
      </c>
      <c r="L100">
        <f t="shared" si="14"/>
        <v>1</v>
      </c>
      <c r="M100">
        <v>52.611970116012088</v>
      </c>
      <c r="N100">
        <v>54.991084727327838</v>
      </c>
      <c r="O100">
        <f t="shared" si="19"/>
        <v>1</v>
      </c>
      <c r="P100">
        <f t="shared" si="20"/>
        <v>1</v>
      </c>
      <c r="Q100">
        <f t="shared" si="21"/>
        <v>-5.431</v>
      </c>
      <c r="R100">
        <v>1</v>
      </c>
      <c r="S100">
        <f t="shared" si="15"/>
        <v>-3.0511690035756986</v>
      </c>
      <c r="T100">
        <v>-6.9272796449965783</v>
      </c>
      <c r="U100">
        <f t="shared" si="16"/>
        <v>-3.8761106414208797</v>
      </c>
    </row>
    <row r="101" spans="1:21">
      <c r="A101">
        <f t="shared" si="17"/>
        <v>100</v>
      </c>
      <c r="B101" s="2">
        <f t="shared" si="18"/>
        <v>52</v>
      </c>
      <c r="C101" s="3">
        <v>43366</v>
      </c>
      <c r="D101" s="4">
        <v>3.0127314814814815E-2</v>
      </c>
      <c r="E101" s="5">
        <v>-8.34</v>
      </c>
      <c r="F101" s="5">
        <v>116.74</v>
      </c>
      <c r="G101" s="36">
        <v>4</v>
      </c>
      <c r="H101" s="5">
        <v>13</v>
      </c>
      <c r="I101" s="41" t="s">
        <v>10</v>
      </c>
      <c r="J101" s="45" t="s">
        <v>19</v>
      </c>
      <c r="K101">
        <v>283</v>
      </c>
      <c r="L101">
        <f t="shared" si="14"/>
        <v>3</v>
      </c>
      <c r="M101">
        <v>76.556929365864917</v>
      </c>
      <c r="N101">
        <v>77.652839187823844</v>
      </c>
      <c r="O101">
        <f t="shared" si="19"/>
        <v>0</v>
      </c>
      <c r="P101">
        <f t="shared" si="20"/>
        <v>1</v>
      </c>
      <c r="Q101">
        <f t="shared" si="21"/>
        <v>-4.8929999999999998</v>
      </c>
      <c r="R101">
        <v>0</v>
      </c>
      <c r="S101">
        <f t="shared" si="15"/>
        <v>-2.0188812661910913</v>
      </c>
      <c r="T101">
        <v>-6.0313999103825511</v>
      </c>
      <c r="U101">
        <f t="shared" si="16"/>
        <v>-4.0125186441914593</v>
      </c>
    </row>
    <row r="102" spans="1:21">
      <c r="A102">
        <f t="shared" si="17"/>
        <v>101</v>
      </c>
      <c r="B102" s="2">
        <f t="shared" si="18"/>
        <v>53</v>
      </c>
      <c r="C102" s="3">
        <v>43378</v>
      </c>
      <c r="D102" s="4">
        <v>0.41123842592592591</v>
      </c>
      <c r="E102" s="5">
        <v>-8.42</v>
      </c>
      <c r="F102" s="5">
        <v>116.87</v>
      </c>
      <c r="G102" s="36">
        <v>3.7</v>
      </c>
      <c r="H102" s="5">
        <v>11</v>
      </c>
      <c r="I102" s="41" t="s">
        <v>10</v>
      </c>
      <c r="J102" s="45" t="s">
        <v>13</v>
      </c>
      <c r="K102">
        <v>386</v>
      </c>
      <c r="L102">
        <f t="shared" si="14"/>
        <v>2</v>
      </c>
      <c r="M102">
        <v>202.99354263663312</v>
      </c>
      <c r="N102">
        <v>203.29136320112224</v>
      </c>
      <c r="O102">
        <f t="shared" si="19"/>
        <v>0</v>
      </c>
      <c r="P102">
        <f t="shared" si="20"/>
        <v>1</v>
      </c>
      <c r="Q102">
        <f t="shared" si="21"/>
        <v>-5.0890000000000004</v>
      </c>
      <c r="R102">
        <v>0</v>
      </c>
      <c r="S102">
        <f t="shared" si="15"/>
        <v>-3.8878766785933672</v>
      </c>
      <c r="T102">
        <v>-5.8875588741566602</v>
      </c>
      <c r="U102">
        <f t="shared" si="16"/>
        <v>-1.9996821955632931</v>
      </c>
    </row>
    <row r="103" spans="1:21">
      <c r="A103">
        <f t="shared" si="17"/>
        <v>102</v>
      </c>
      <c r="B103" s="2">
        <f t="shared" si="18"/>
        <v>54</v>
      </c>
      <c r="C103" s="3">
        <v>43381</v>
      </c>
      <c r="D103" s="4">
        <v>3.9837962962962964E-2</v>
      </c>
      <c r="E103" s="5">
        <v>-8.43</v>
      </c>
      <c r="F103" s="5">
        <v>116.76</v>
      </c>
      <c r="G103" s="36">
        <v>4.9000000000000004</v>
      </c>
      <c r="H103" s="5">
        <v>10</v>
      </c>
      <c r="I103" s="41" t="s">
        <v>10</v>
      </c>
      <c r="J103" s="45" t="s">
        <v>15</v>
      </c>
      <c r="K103">
        <v>210</v>
      </c>
      <c r="L103">
        <f t="shared" si="14"/>
        <v>3</v>
      </c>
      <c r="M103">
        <v>74.843048563414939</v>
      </c>
      <c r="N103">
        <v>75.508157958366894</v>
      </c>
      <c r="O103">
        <f t="shared" si="19"/>
        <v>0</v>
      </c>
      <c r="P103">
        <f t="shared" si="20"/>
        <v>1</v>
      </c>
      <c r="Q103">
        <f t="shared" si="21"/>
        <v>-4.8929999999999998</v>
      </c>
      <c r="R103">
        <v>1</v>
      </c>
      <c r="S103">
        <f t="shared" si="15"/>
        <v>-0.40854989420155619</v>
      </c>
      <c r="T103">
        <v>-2.0921328123123701</v>
      </c>
      <c r="U103">
        <f t="shared" si="16"/>
        <v>-1.683582918110814</v>
      </c>
    </row>
    <row r="104" spans="1:21">
      <c r="A104">
        <f t="shared" si="17"/>
        <v>103</v>
      </c>
      <c r="B104" s="2">
        <f t="shared" si="18"/>
        <v>54</v>
      </c>
      <c r="C104" s="3">
        <v>43381</v>
      </c>
      <c r="D104" s="4">
        <v>3.9837962962962964E-2</v>
      </c>
      <c r="E104" s="5">
        <v>-8.43</v>
      </c>
      <c r="F104" s="5">
        <v>116.76</v>
      </c>
      <c r="G104" s="36">
        <v>4.9000000000000004</v>
      </c>
      <c r="H104" s="5">
        <v>10</v>
      </c>
      <c r="I104" s="41" t="s">
        <v>10</v>
      </c>
      <c r="J104" s="45" t="s">
        <v>19</v>
      </c>
      <c r="K104">
        <v>283</v>
      </c>
      <c r="L104">
        <f t="shared" si="14"/>
        <v>3</v>
      </c>
      <c r="M104">
        <v>72.833909625461303</v>
      </c>
      <c r="N104">
        <v>73.517197928987102</v>
      </c>
      <c r="O104">
        <f t="shared" si="19"/>
        <v>0</v>
      </c>
      <c r="P104">
        <f t="shared" si="20"/>
        <v>1</v>
      </c>
      <c r="Q104">
        <f t="shared" si="21"/>
        <v>-4.8929999999999998</v>
      </c>
      <c r="R104">
        <v>0</v>
      </c>
      <c r="S104">
        <f t="shared" si="15"/>
        <v>-0.37907492617399452</v>
      </c>
      <c r="T104">
        <v>-1.9786203633012789</v>
      </c>
      <c r="U104">
        <f t="shared" si="16"/>
        <v>-1.5995454371272844</v>
      </c>
    </row>
    <row r="105" spans="1:21">
      <c r="A105">
        <f t="shared" si="17"/>
        <v>104</v>
      </c>
      <c r="B105" s="2">
        <f t="shared" si="18"/>
        <v>55</v>
      </c>
      <c r="C105" s="3">
        <v>43383</v>
      </c>
      <c r="D105" s="4">
        <v>0.38613425925925932</v>
      </c>
      <c r="E105" s="5">
        <v>-8.18</v>
      </c>
      <c r="F105" s="5">
        <v>116.82</v>
      </c>
      <c r="G105" s="36">
        <v>4.5</v>
      </c>
      <c r="H105" s="5">
        <v>10</v>
      </c>
      <c r="I105" s="41" t="s">
        <v>10</v>
      </c>
      <c r="J105" s="45" t="s">
        <v>14</v>
      </c>
      <c r="K105">
        <v>290</v>
      </c>
      <c r="L105">
        <f t="shared" si="14"/>
        <v>3</v>
      </c>
      <c r="M105">
        <v>169.5752754141601</v>
      </c>
      <c r="N105">
        <v>169.86987382048724</v>
      </c>
      <c r="O105">
        <f t="shared" si="19"/>
        <v>0</v>
      </c>
      <c r="P105">
        <f t="shared" si="20"/>
        <v>1</v>
      </c>
      <c r="Q105">
        <f t="shared" si="21"/>
        <v>-4.8929999999999998</v>
      </c>
      <c r="R105">
        <v>0</v>
      </c>
      <c r="S105">
        <f t="shared" si="15"/>
        <v>-2.0571372655598776</v>
      </c>
      <c r="T105">
        <v>-3.4490069234207938</v>
      </c>
      <c r="U105">
        <f t="shared" si="16"/>
        <v>-1.3918696578609162</v>
      </c>
    </row>
    <row r="106" spans="1:21">
      <c r="A106">
        <f t="shared" si="17"/>
        <v>105</v>
      </c>
      <c r="B106" s="2">
        <f t="shared" si="18"/>
        <v>56</v>
      </c>
      <c r="C106" s="3">
        <v>43410</v>
      </c>
      <c r="D106" s="4">
        <v>0.33349537037037041</v>
      </c>
      <c r="E106" s="5">
        <v>-8.31</v>
      </c>
      <c r="F106" s="5">
        <v>116.6</v>
      </c>
      <c r="G106" s="36">
        <v>4.3</v>
      </c>
      <c r="H106" s="5">
        <v>10</v>
      </c>
      <c r="I106" s="41" t="s">
        <v>10</v>
      </c>
      <c r="J106" s="45" t="s">
        <v>14</v>
      </c>
      <c r="K106">
        <v>290</v>
      </c>
      <c r="L106">
        <f t="shared" si="14"/>
        <v>3</v>
      </c>
      <c r="M106">
        <v>191.39436649976986</v>
      </c>
      <c r="N106">
        <v>191.65542916350748</v>
      </c>
      <c r="O106">
        <f t="shared" si="19"/>
        <v>0</v>
      </c>
      <c r="P106">
        <f t="shared" si="20"/>
        <v>1</v>
      </c>
      <c r="Q106">
        <f t="shared" si="21"/>
        <v>-4.8929999999999998</v>
      </c>
      <c r="R106">
        <v>0</v>
      </c>
      <c r="S106">
        <f t="shared" si="15"/>
        <v>-2.5611018560866321</v>
      </c>
      <c r="T106">
        <v>-4.7362663276596377</v>
      </c>
      <c r="U106">
        <f t="shared" si="16"/>
        <v>-2.1751644715730056</v>
      </c>
    </row>
    <row r="107" spans="1:21">
      <c r="A107">
        <f t="shared" si="17"/>
        <v>106</v>
      </c>
      <c r="B107" s="2">
        <f t="shared" si="18"/>
        <v>56</v>
      </c>
      <c r="C107" s="3">
        <v>43410</v>
      </c>
      <c r="D107" s="4">
        <v>0.33349537037037041</v>
      </c>
      <c r="E107" s="5">
        <v>-8.31</v>
      </c>
      <c r="F107" s="5">
        <v>116.6</v>
      </c>
      <c r="G107" s="36">
        <v>4.3</v>
      </c>
      <c r="H107" s="5">
        <v>10</v>
      </c>
      <c r="I107" s="41" t="s">
        <v>10</v>
      </c>
      <c r="J107" s="45" t="s">
        <v>15</v>
      </c>
      <c r="K107">
        <v>210</v>
      </c>
      <c r="L107">
        <f t="shared" si="14"/>
        <v>3</v>
      </c>
      <c r="M107">
        <v>62.335277789976317</v>
      </c>
      <c r="N107">
        <v>63.132296466654168</v>
      </c>
      <c r="O107">
        <f t="shared" si="19"/>
        <v>0</v>
      </c>
      <c r="P107">
        <f t="shared" si="20"/>
        <v>1</v>
      </c>
      <c r="Q107">
        <f t="shared" si="21"/>
        <v>-4.8929999999999998</v>
      </c>
      <c r="R107">
        <v>1</v>
      </c>
      <c r="S107">
        <f t="shared" si="15"/>
        <v>-1.26448791471203</v>
      </c>
      <c r="T107">
        <v>-3.9571940186363626</v>
      </c>
      <c r="U107">
        <f t="shared" si="16"/>
        <v>-2.6927061039243325</v>
      </c>
    </row>
    <row r="108" spans="1:21">
      <c r="A108">
        <f t="shared" si="17"/>
        <v>107</v>
      </c>
      <c r="B108" s="2">
        <f t="shared" si="18"/>
        <v>57</v>
      </c>
      <c r="C108" s="3">
        <v>43410</v>
      </c>
      <c r="D108" s="4">
        <v>0.57636574074074076</v>
      </c>
      <c r="E108" s="5">
        <v>-8.5</v>
      </c>
      <c r="F108" s="5">
        <v>116.93</v>
      </c>
      <c r="G108" s="36">
        <v>4.7</v>
      </c>
      <c r="H108" s="5">
        <v>10</v>
      </c>
      <c r="I108" s="41" t="s">
        <v>10</v>
      </c>
      <c r="J108" s="45" t="s">
        <v>14</v>
      </c>
      <c r="K108">
        <v>290</v>
      </c>
      <c r="L108">
        <f t="shared" si="14"/>
        <v>3</v>
      </c>
      <c r="M108">
        <v>153.54034510521262</v>
      </c>
      <c r="N108">
        <v>153.8656478068701</v>
      </c>
      <c r="O108">
        <f t="shared" si="19"/>
        <v>0</v>
      </c>
      <c r="P108">
        <f t="shared" si="20"/>
        <v>1</v>
      </c>
      <c r="Q108">
        <f t="shared" si="21"/>
        <v>-4.8929999999999998</v>
      </c>
      <c r="R108">
        <v>0</v>
      </c>
      <c r="S108">
        <f t="shared" si="15"/>
        <v>-1.5835307157781204</v>
      </c>
      <c r="T108">
        <v>-3.5011583604706393</v>
      </c>
      <c r="U108">
        <f t="shared" si="16"/>
        <v>-1.9176276446925189</v>
      </c>
    </row>
    <row r="109" spans="1:21">
      <c r="A109">
        <f t="shared" si="17"/>
        <v>108</v>
      </c>
      <c r="B109" s="2">
        <f t="shared" si="18"/>
        <v>58</v>
      </c>
      <c r="C109" s="3">
        <v>43412</v>
      </c>
      <c r="D109" s="4">
        <v>0.91539351851851858</v>
      </c>
      <c r="E109" s="5">
        <v>-8.26</v>
      </c>
      <c r="F109" s="5">
        <v>116.79</v>
      </c>
      <c r="G109" s="36">
        <v>3.8</v>
      </c>
      <c r="H109" s="5">
        <v>20</v>
      </c>
      <c r="I109" s="41" t="s">
        <v>10</v>
      </c>
      <c r="J109" s="45" t="s">
        <v>19</v>
      </c>
      <c r="K109">
        <v>283</v>
      </c>
      <c r="L109">
        <f t="shared" si="14"/>
        <v>3</v>
      </c>
      <c r="M109">
        <v>73.704865393879203</v>
      </c>
      <c r="N109">
        <v>76.370198262999509</v>
      </c>
      <c r="O109">
        <f t="shared" si="19"/>
        <v>1</v>
      </c>
      <c r="P109">
        <f t="shared" si="20"/>
        <v>1</v>
      </c>
      <c r="Q109">
        <f t="shared" si="21"/>
        <v>-4.8929999999999998</v>
      </c>
      <c r="R109">
        <v>0</v>
      </c>
      <c r="S109">
        <f t="shared" si="15"/>
        <v>-2.3195143138867351</v>
      </c>
      <c r="T109">
        <v>-6.2341324644366329</v>
      </c>
      <c r="U109">
        <f t="shared" si="16"/>
        <v>-3.9146181505498978</v>
      </c>
    </row>
    <row r="110" spans="1:21">
      <c r="A110">
        <f t="shared" si="17"/>
        <v>109</v>
      </c>
      <c r="B110" s="2">
        <f t="shared" si="18"/>
        <v>59</v>
      </c>
      <c r="C110" s="18">
        <v>43419</v>
      </c>
      <c r="D110" s="19">
        <v>0.82395833333333324</v>
      </c>
      <c r="E110" s="20">
        <v>-8.2100000000000009</v>
      </c>
      <c r="F110" s="20">
        <v>116.33</v>
      </c>
      <c r="G110" s="36">
        <v>3.7</v>
      </c>
      <c r="H110" s="20">
        <v>5</v>
      </c>
      <c r="I110" s="2" t="s">
        <v>10</v>
      </c>
      <c r="J110" s="45" t="s">
        <v>16</v>
      </c>
      <c r="K110">
        <v>770</v>
      </c>
      <c r="L110">
        <f t="shared" si="14"/>
        <v>1</v>
      </c>
      <c r="M110">
        <v>62.043000961657171</v>
      </c>
      <c r="N110">
        <v>62.244148064924083</v>
      </c>
      <c r="O110">
        <f t="shared" si="19"/>
        <v>0</v>
      </c>
      <c r="P110">
        <f t="shared" si="20"/>
        <v>1</v>
      </c>
      <c r="Q110">
        <f t="shared" si="21"/>
        <v>-5.431</v>
      </c>
      <c r="R110">
        <v>1</v>
      </c>
      <c r="S110">
        <f t="shared" si="15"/>
        <v>-2.840541761118716</v>
      </c>
      <c r="T110">
        <v>-6.5807060547166056</v>
      </c>
      <c r="U110">
        <f t="shared" si="16"/>
        <v>-3.7401642935978896</v>
      </c>
    </row>
    <row r="111" spans="1:21">
      <c r="A111">
        <f t="shared" si="17"/>
        <v>110</v>
      </c>
      <c r="B111" s="2">
        <f t="shared" si="18"/>
        <v>60</v>
      </c>
      <c r="C111" s="3">
        <v>43421</v>
      </c>
      <c r="D111" s="4">
        <v>0.52866898148148145</v>
      </c>
      <c r="E111" s="5">
        <v>-8.35</v>
      </c>
      <c r="F111" s="5">
        <v>116.09</v>
      </c>
      <c r="G111" s="36">
        <v>3.7</v>
      </c>
      <c r="H111" s="5">
        <v>11</v>
      </c>
      <c r="I111" s="41" t="s">
        <v>10</v>
      </c>
      <c r="J111" s="45" t="s">
        <v>15</v>
      </c>
      <c r="K111">
        <v>210</v>
      </c>
      <c r="L111">
        <f t="shared" si="14"/>
        <v>3</v>
      </c>
      <c r="M111">
        <v>23.835078470597363</v>
      </c>
      <c r="N111">
        <v>26.25092313994946</v>
      </c>
      <c r="O111">
        <f t="shared" si="19"/>
        <v>0</v>
      </c>
      <c r="P111">
        <f t="shared" si="20"/>
        <v>1</v>
      </c>
      <c r="Q111">
        <f t="shared" si="21"/>
        <v>-4.8929999999999998</v>
      </c>
      <c r="R111">
        <v>1</v>
      </c>
      <c r="S111">
        <f t="shared" si="15"/>
        <v>-1.389383820181429</v>
      </c>
      <c r="T111">
        <v>-3.9416487251013472</v>
      </c>
      <c r="U111">
        <f t="shared" si="16"/>
        <v>-2.5522649049199182</v>
      </c>
    </row>
    <row r="112" spans="1:21">
      <c r="A112">
        <f t="shared" si="17"/>
        <v>111</v>
      </c>
      <c r="B112" s="2">
        <f t="shared" si="18"/>
        <v>60</v>
      </c>
      <c r="C112" s="18">
        <v>43421</v>
      </c>
      <c r="D112" s="19">
        <v>0.52866898148148145</v>
      </c>
      <c r="E112" s="20">
        <v>-8.35</v>
      </c>
      <c r="F112" s="20">
        <v>116.09</v>
      </c>
      <c r="G112" s="36">
        <v>3.7</v>
      </c>
      <c r="H112" s="20">
        <v>11</v>
      </c>
      <c r="I112" s="2" t="s">
        <v>10</v>
      </c>
      <c r="J112" s="45" t="s">
        <v>16</v>
      </c>
      <c r="K112">
        <v>770</v>
      </c>
      <c r="L112">
        <f t="shared" si="14"/>
        <v>1</v>
      </c>
      <c r="M112">
        <v>50.769469002227638</v>
      </c>
      <c r="N112">
        <v>51.94746367983862</v>
      </c>
      <c r="O112">
        <f t="shared" si="19"/>
        <v>0</v>
      </c>
      <c r="P112">
        <f t="shared" si="20"/>
        <v>1</v>
      </c>
      <c r="Q112">
        <f t="shared" si="21"/>
        <v>-5.431</v>
      </c>
      <c r="R112">
        <v>1</v>
      </c>
      <c r="S112">
        <f t="shared" si="15"/>
        <v>-2.6450249868610363</v>
      </c>
      <c r="T112">
        <v>-5.4294135082195831</v>
      </c>
      <c r="U112">
        <f t="shared" si="16"/>
        <v>-2.7843885213585469</v>
      </c>
    </row>
    <row r="113" spans="1:21">
      <c r="A113">
        <f t="shared" si="17"/>
        <v>112</v>
      </c>
      <c r="B113" s="2">
        <f t="shared" si="18"/>
        <v>61</v>
      </c>
      <c r="C113" s="3">
        <v>43455</v>
      </c>
      <c r="D113" s="4">
        <v>0.44717592592592598</v>
      </c>
      <c r="E113" s="5">
        <v>-8.35</v>
      </c>
      <c r="F113" s="5">
        <v>116.74</v>
      </c>
      <c r="G113" s="36">
        <v>5.0999999999999996</v>
      </c>
      <c r="H113" s="5">
        <v>10</v>
      </c>
      <c r="I113" s="41" t="s">
        <v>10</v>
      </c>
      <c r="J113" s="45" t="s">
        <v>19</v>
      </c>
      <c r="K113">
        <v>283</v>
      </c>
      <c r="L113">
        <f t="shared" si="14"/>
        <v>3</v>
      </c>
      <c r="M113">
        <v>76.326023434540531</v>
      </c>
      <c r="N113">
        <v>76.978320671017698</v>
      </c>
      <c r="O113">
        <f t="shared" si="19"/>
        <v>0</v>
      </c>
      <c r="P113">
        <f t="shared" si="20"/>
        <v>1</v>
      </c>
      <c r="Q113">
        <f t="shared" si="21"/>
        <v>-4.8929999999999998</v>
      </c>
      <c r="R113">
        <v>0</v>
      </c>
      <c r="S113">
        <f t="shared" si="15"/>
        <v>-7.9497736371278549E-2</v>
      </c>
      <c r="T113">
        <v>-1.8300973870543644</v>
      </c>
      <c r="U113">
        <f t="shared" si="16"/>
        <v>-1.7505996506830859</v>
      </c>
    </row>
    <row r="114" spans="1:21">
      <c r="A114">
        <f t="shared" si="17"/>
        <v>113</v>
      </c>
      <c r="B114" s="2">
        <f t="shared" si="18"/>
        <v>61</v>
      </c>
      <c r="C114" s="3">
        <v>43455</v>
      </c>
      <c r="D114" s="4">
        <v>0.44717592592592598</v>
      </c>
      <c r="E114" s="5">
        <v>-8.35</v>
      </c>
      <c r="F114" s="5">
        <v>116.74</v>
      </c>
      <c r="G114" s="36">
        <v>5.0999999999999996</v>
      </c>
      <c r="H114" s="5">
        <v>10</v>
      </c>
      <c r="I114" s="41" t="s">
        <v>10</v>
      </c>
      <c r="J114" s="45" t="s">
        <v>17</v>
      </c>
      <c r="K114">
        <v>1141</v>
      </c>
      <c r="L114">
        <f t="shared" si="14"/>
        <v>1</v>
      </c>
      <c r="M114">
        <v>45.913425587818345</v>
      </c>
      <c r="N114">
        <v>46.989814313403414</v>
      </c>
      <c r="O114">
        <f t="shared" si="19"/>
        <v>0</v>
      </c>
      <c r="P114">
        <f t="shared" si="20"/>
        <v>1</v>
      </c>
      <c r="Q114">
        <f t="shared" si="21"/>
        <v>-5.431</v>
      </c>
      <c r="R114">
        <v>0</v>
      </c>
      <c r="S114">
        <f t="shared" si="15"/>
        <v>-8.4714863207707047E-2</v>
      </c>
      <c r="T114">
        <v>-2.0593902909415691</v>
      </c>
      <c r="U114">
        <f t="shared" si="16"/>
        <v>-1.9746754277338621</v>
      </c>
    </row>
    <row r="115" spans="1:21">
      <c r="A115" s="8">
        <f t="shared" si="17"/>
        <v>114</v>
      </c>
      <c r="B115" s="9">
        <f t="shared" si="18"/>
        <v>62</v>
      </c>
      <c r="C115" s="10">
        <v>43508</v>
      </c>
      <c r="D115" s="11">
        <v>0.71231481481481485</v>
      </c>
      <c r="E115" s="12">
        <v>-8.39</v>
      </c>
      <c r="F115" s="12">
        <v>116.84</v>
      </c>
      <c r="G115" s="37">
        <v>4.5</v>
      </c>
      <c r="H115" s="12">
        <v>10</v>
      </c>
      <c r="I115" s="42" t="s">
        <v>10</v>
      </c>
      <c r="J115" s="46" t="s">
        <v>17</v>
      </c>
      <c r="K115">
        <v>1141</v>
      </c>
      <c r="L115">
        <f t="shared" si="14"/>
        <v>1</v>
      </c>
      <c r="M115">
        <v>38.954393040170586</v>
      </c>
      <c r="N115">
        <v>40.217468059639089</v>
      </c>
      <c r="O115">
        <f t="shared" si="19"/>
        <v>0</v>
      </c>
      <c r="P115">
        <f t="shared" si="20"/>
        <v>1</v>
      </c>
      <c r="Q115">
        <f t="shared" si="21"/>
        <v>-5.431</v>
      </c>
      <c r="R115">
        <v>0</v>
      </c>
      <c r="S115">
        <f t="shared" si="15"/>
        <v>-0.96990443369811885</v>
      </c>
      <c r="T115">
        <v>-3.7338399853152557</v>
      </c>
      <c r="U115">
        <f t="shared" si="16"/>
        <v>-2.7639355516171369</v>
      </c>
    </row>
    <row r="116" spans="1:21">
      <c r="A116" s="8">
        <f t="shared" si="17"/>
        <v>115</v>
      </c>
      <c r="B116" s="9">
        <f t="shared" si="18"/>
        <v>63</v>
      </c>
      <c r="C116" s="28">
        <v>43541</v>
      </c>
      <c r="D116" s="11">
        <v>0.58848379629629632</v>
      </c>
      <c r="E116" s="12">
        <v>-8.4700000000000006</v>
      </c>
      <c r="F116" s="12">
        <v>116.55</v>
      </c>
      <c r="G116" s="37">
        <v>5.5</v>
      </c>
      <c r="H116" s="12">
        <v>19</v>
      </c>
      <c r="I116" s="9" t="s">
        <v>11</v>
      </c>
      <c r="J116" s="46" t="s">
        <v>16</v>
      </c>
      <c r="K116">
        <v>770</v>
      </c>
      <c r="L116">
        <f t="shared" si="14"/>
        <v>1</v>
      </c>
      <c r="M116">
        <v>44.602245905875868</v>
      </c>
      <c r="N116">
        <v>48.480515053454425</v>
      </c>
      <c r="O116">
        <f t="shared" si="19"/>
        <v>1</v>
      </c>
      <c r="P116">
        <f t="shared" si="20"/>
        <v>0</v>
      </c>
      <c r="Q116">
        <f t="shared" si="21"/>
        <v>-5.431</v>
      </c>
      <c r="R116">
        <v>1</v>
      </c>
      <c r="S116">
        <f t="shared" si="15"/>
        <v>0.29846948637682136</v>
      </c>
      <c r="T116">
        <v>-1.2915979809305782</v>
      </c>
      <c r="U116">
        <f t="shared" si="16"/>
        <v>-1.5900674673073996</v>
      </c>
    </row>
    <row r="117" spans="1:21">
      <c r="A117" s="8">
        <f t="shared" si="17"/>
        <v>116</v>
      </c>
      <c r="B117" s="9">
        <f t="shared" si="18"/>
        <v>63</v>
      </c>
      <c r="C117" s="10">
        <v>43541</v>
      </c>
      <c r="D117" s="11">
        <v>0.58848379629629632</v>
      </c>
      <c r="E117" s="12">
        <v>-8.4700000000000006</v>
      </c>
      <c r="F117" s="12">
        <v>116.55</v>
      </c>
      <c r="G117" s="37">
        <v>5.5</v>
      </c>
      <c r="H117" s="12">
        <v>19</v>
      </c>
      <c r="I117" s="9" t="s">
        <v>11</v>
      </c>
      <c r="J117" s="46" t="s">
        <v>17</v>
      </c>
      <c r="K117">
        <v>1141</v>
      </c>
      <c r="L117">
        <f t="shared" si="14"/>
        <v>1</v>
      </c>
      <c r="M117">
        <v>47.410108769841003</v>
      </c>
      <c r="N117">
        <v>51.075614666572093</v>
      </c>
      <c r="O117">
        <f t="shared" si="19"/>
        <v>1</v>
      </c>
      <c r="P117">
        <f t="shared" si="20"/>
        <v>0</v>
      </c>
      <c r="Q117">
        <f t="shared" si="21"/>
        <v>-5.431</v>
      </c>
      <c r="R117">
        <v>1</v>
      </c>
      <c r="S117">
        <f t="shared" si="15"/>
        <v>0.24343435868006225</v>
      </c>
      <c r="T117">
        <v>-0.82632766066760144</v>
      </c>
      <c r="U117">
        <f t="shared" si="16"/>
        <v>-1.0697620193476638</v>
      </c>
    </row>
    <row r="118" spans="1:21">
      <c r="A118" s="8">
        <f t="shared" si="17"/>
        <v>117</v>
      </c>
      <c r="B118" s="9">
        <f t="shared" si="18"/>
        <v>64</v>
      </c>
      <c r="C118" s="28">
        <v>43541</v>
      </c>
      <c r="D118" s="11">
        <v>0.58981481481481479</v>
      </c>
      <c r="E118" s="12">
        <v>-8.51</v>
      </c>
      <c r="F118" s="12">
        <v>116.49</v>
      </c>
      <c r="G118" s="37">
        <v>5.0999999999999996</v>
      </c>
      <c r="H118" s="12">
        <v>11</v>
      </c>
      <c r="I118" s="9" t="s">
        <v>11</v>
      </c>
      <c r="J118" s="46" t="s">
        <v>16</v>
      </c>
      <c r="K118">
        <v>770</v>
      </c>
      <c r="L118">
        <f t="shared" si="14"/>
        <v>1</v>
      </c>
      <c r="M118">
        <v>36.872886592294471</v>
      </c>
      <c r="N118">
        <v>38.478692358865437</v>
      </c>
      <c r="O118">
        <f t="shared" si="19"/>
        <v>0</v>
      </c>
      <c r="P118">
        <f t="shared" si="20"/>
        <v>0</v>
      </c>
      <c r="Q118">
        <f t="shared" si="21"/>
        <v>-5.431</v>
      </c>
      <c r="R118">
        <v>1</v>
      </c>
      <c r="S118">
        <f t="shared" si="15"/>
        <v>-0.18214493805519361</v>
      </c>
      <c r="T118">
        <v>-1.7069384293354852</v>
      </c>
      <c r="U118">
        <f t="shared" si="16"/>
        <v>-1.5247934912802916</v>
      </c>
    </row>
    <row r="119" spans="1:21">
      <c r="A119">
        <f t="shared" si="17"/>
        <v>118</v>
      </c>
      <c r="B119" s="2">
        <f t="shared" si="18"/>
        <v>65</v>
      </c>
      <c r="C119" s="25">
        <v>43571</v>
      </c>
      <c r="D119" s="26">
        <v>0.55440972223004792</v>
      </c>
      <c r="E119" s="27">
        <v>-8.2200000000000006</v>
      </c>
      <c r="F119" s="27">
        <v>116.76</v>
      </c>
      <c r="G119" s="36">
        <v>4.5999999999999996</v>
      </c>
      <c r="H119" s="27">
        <v>16</v>
      </c>
      <c r="I119" s="41" t="s">
        <v>10</v>
      </c>
      <c r="J119" s="45" t="s">
        <v>13</v>
      </c>
      <c r="K119">
        <v>386</v>
      </c>
      <c r="L119">
        <f t="shared" si="14"/>
        <v>2</v>
      </c>
      <c r="M119">
        <v>217.7283448303655</v>
      </c>
      <c r="N119">
        <v>218.31544183261647</v>
      </c>
      <c r="O119">
        <f t="shared" si="19"/>
        <v>1</v>
      </c>
      <c r="P119">
        <f t="shared" si="20"/>
        <v>1</v>
      </c>
      <c r="Q119">
        <f t="shared" si="21"/>
        <v>-5.0890000000000004</v>
      </c>
      <c r="R119">
        <v>0</v>
      </c>
      <c r="S119">
        <f t="shared" si="15"/>
        <v>-2.3926592879474251</v>
      </c>
      <c r="T119">
        <v>-4.6773748098314458</v>
      </c>
      <c r="U119">
        <f t="shared" si="16"/>
        <v>-2.2847155218840207</v>
      </c>
    </row>
    <row r="120" spans="1:21">
      <c r="A120">
        <f t="shared" si="17"/>
        <v>119</v>
      </c>
      <c r="B120" s="2">
        <f t="shared" si="18"/>
        <v>66</v>
      </c>
      <c r="C120" s="25">
        <v>43579</v>
      </c>
      <c r="D120" s="26">
        <v>0.76734953703999054</v>
      </c>
      <c r="E120" s="27">
        <v>-8.1</v>
      </c>
      <c r="F120" s="27">
        <v>117.71</v>
      </c>
      <c r="G120" s="36">
        <v>3.8</v>
      </c>
      <c r="H120" s="27">
        <v>10</v>
      </c>
      <c r="I120" s="41" t="s">
        <v>10</v>
      </c>
      <c r="J120" s="45" t="s">
        <v>13</v>
      </c>
      <c r="K120">
        <v>386</v>
      </c>
      <c r="L120">
        <f t="shared" si="14"/>
        <v>2</v>
      </c>
      <c r="M120">
        <v>119.77550230598494</v>
      </c>
      <c r="N120">
        <v>120.19222500915359</v>
      </c>
      <c r="O120">
        <f t="shared" si="19"/>
        <v>0</v>
      </c>
      <c r="P120">
        <f t="shared" si="20"/>
        <v>1</v>
      </c>
      <c r="Q120">
        <f t="shared" si="21"/>
        <v>-5.0890000000000004</v>
      </c>
      <c r="R120">
        <v>1</v>
      </c>
      <c r="S120">
        <f t="shared" si="15"/>
        <v>-3.0648827830106042</v>
      </c>
      <c r="T120">
        <v>-5.8286673563284692</v>
      </c>
      <c r="U120">
        <f t="shared" si="16"/>
        <v>-2.763784573317865</v>
      </c>
    </row>
    <row r="121" spans="1:21">
      <c r="A121">
        <f t="shared" si="17"/>
        <v>120</v>
      </c>
      <c r="B121" s="2">
        <f t="shared" si="18"/>
        <v>66</v>
      </c>
      <c r="C121" s="3">
        <v>43579</v>
      </c>
      <c r="D121" s="4">
        <v>0.76734953703999054</v>
      </c>
      <c r="E121" s="5">
        <v>-8.1</v>
      </c>
      <c r="F121" s="5">
        <v>117.71</v>
      </c>
      <c r="G121" s="36">
        <v>3.8</v>
      </c>
      <c r="H121" s="5">
        <v>10</v>
      </c>
      <c r="I121" s="41" t="s">
        <v>10</v>
      </c>
      <c r="J121" s="45" t="s">
        <v>17</v>
      </c>
      <c r="K121">
        <v>1141</v>
      </c>
      <c r="L121">
        <f t="shared" si="14"/>
        <v>1</v>
      </c>
      <c r="M121">
        <v>116.1383311956387</v>
      </c>
      <c r="N121">
        <v>116.568057258015</v>
      </c>
      <c r="O121">
        <f t="shared" si="19"/>
        <v>0</v>
      </c>
      <c r="P121">
        <f t="shared" si="20"/>
        <v>1</v>
      </c>
      <c r="Q121">
        <f t="shared" si="21"/>
        <v>-5.431</v>
      </c>
      <c r="R121">
        <v>0</v>
      </c>
      <c r="S121">
        <f t="shared" si="15"/>
        <v>-3.3709788403120471</v>
      </c>
      <c r="T121">
        <v>-6.9272796449965783</v>
      </c>
      <c r="U121">
        <f t="shared" si="16"/>
        <v>-3.5563008046845312</v>
      </c>
    </row>
    <row r="122" spans="1:21">
      <c r="A122">
        <f t="shared" si="17"/>
        <v>121</v>
      </c>
      <c r="B122" s="2">
        <f t="shared" si="18"/>
        <v>67</v>
      </c>
      <c r="C122" s="25">
        <v>43699</v>
      </c>
      <c r="D122" s="26">
        <v>0.37410879629629629</v>
      </c>
      <c r="E122" s="27">
        <v>-7.92</v>
      </c>
      <c r="F122" s="27">
        <v>117.15</v>
      </c>
      <c r="G122" s="36">
        <v>4.7</v>
      </c>
      <c r="H122" s="27">
        <v>10</v>
      </c>
      <c r="I122" s="41" t="s">
        <v>10</v>
      </c>
      <c r="J122" s="45" t="s">
        <v>13</v>
      </c>
      <c r="K122">
        <v>386</v>
      </c>
      <c r="L122">
        <f t="shared" si="14"/>
        <v>2</v>
      </c>
      <c r="M122">
        <v>184.86066146795699</v>
      </c>
      <c r="N122">
        <v>185.13093787471232</v>
      </c>
      <c r="O122">
        <f t="shared" si="19"/>
        <v>0</v>
      </c>
      <c r="P122">
        <f t="shared" si="20"/>
        <v>1</v>
      </c>
      <c r="Q122">
        <f t="shared" si="21"/>
        <v>-5.0890000000000004</v>
      </c>
      <c r="R122">
        <v>1</v>
      </c>
      <c r="S122">
        <f t="shared" si="15"/>
        <v>-2.0100409390036016</v>
      </c>
      <c r="T122">
        <v>-4.5461926775977002</v>
      </c>
      <c r="U122">
        <f t="shared" si="16"/>
        <v>-2.5361517385940986</v>
      </c>
    </row>
    <row r="123" spans="1:21">
      <c r="A123">
        <f t="shared" si="17"/>
        <v>122</v>
      </c>
      <c r="B123" s="2">
        <f t="shared" si="18"/>
        <v>67</v>
      </c>
      <c r="C123" s="25">
        <v>43699</v>
      </c>
      <c r="D123" s="26">
        <v>0.37410879629629629</v>
      </c>
      <c r="E123" s="27">
        <v>-7.92</v>
      </c>
      <c r="F123" s="27">
        <v>117.15</v>
      </c>
      <c r="G123" s="36">
        <v>4.7</v>
      </c>
      <c r="H123" s="27">
        <v>10</v>
      </c>
      <c r="I123" s="2" t="s">
        <v>10</v>
      </c>
      <c r="J123" s="45" t="s">
        <v>16</v>
      </c>
      <c r="K123">
        <v>770</v>
      </c>
      <c r="L123">
        <f t="shared" si="14"/>
        <v>1</v>
      </c>
      <c r="M123">
        <v>134.91677794532623</v>
      </c>
      <c r="N123">
        <v>135.28686917490725</v>
      </c>
      <c r="O123">
        <f t="shared" si="19"/>
        <v>0</v>
      </c>
      <c r="P123">
        <f t="shared" si="20"/>
        <v>1</v>
      </c>
      <c r="Q123">
        <f t="shared" si="21"/>
        <v>-5.431</v>
      </c>
      <c r="R123">
        <v>1</v>
      </c>
      <c r="S123">
        <f t="shared" si="15"/>
        <v>-1.9658897889451254</v>
      </c>
      <c r="T123">
        <v>-5.6848263201025784</v>
      </c>
      <c r="U123">
        <f t="shared" si="16"/>
        <v>-3.7189365311574529</v>
      </c>
    </row>
    <row r="124" spans="1:21">
      <c r="A124">
        <f t="shared" si="17"/>
        <v>123</v>
      </c>
      <c r="B124" s="2">
        <f t="shared" si="18"/>
        <v>67</v>
      </c>
      <c r="C124" s="3">
        <v>43699</v>
      </c>
      <c r="D124" s="4">
        <v>0.37410879629629629</v>
      </c>
      <c r="E124" s="5">
        <v>-7.92</v>
      </c>
      <c r="F124" s="5">
        <v>117.15</v>
      </c>
      <c r="G124" s="36">
        <v>4.7</v>
      </c>
      <c r="H124" s="5">
        <v>10</v>
      </c>
      <c r="I124" s="41" t="s">
        <v>10</v>
      </c>
      <c r="J124" s="45" t="s">
        <v>19</v>
      </c>
      <c r="K124">
        <v>283</v>
      </c>
      <c r="L124">
        <f t="shared" si="14"/>
        <v>3</v>
      </c>
      <c r="M124">
        <v>69.541234354373785</v>
      </c>
      <c r="N124">
        <v>70.25655325683104</v>
      </c>
      <c r="O124">
        <f t="shared" si="19"/>
        <v>0</v>
      </c>
      <c r="P124">
        <f t="shared" si="20"/>
        <v>1</v>
      </c>
      <c r="Q124">
        <f t="shared" si="21"/>
        <v>-4.8929999999999998</v>
      </c>
      <c r="R124">
        <v>0</v>
      </c>
      <c r="S124">
        <f t="shared" si="15"/>
        <v>-0.67974710412165162</v>
      </c>
      <c r="T124">
        <v>-3.2016588025027404</v>
      </c>
      <c r="U124">
        <f t="shared" si="16"/>
        <v>-2.5219116983810888</v>
      </c>
    </row>
    <row r="125" spans="1:21">
      <c r="A125">
        <f t="shared" si="17"/>
        <v>124</v>
      </c>
      <c r="B125" s="2">
        <f t="shared" si="18"/>
        <v>67</v>
      </c>
      <c r="C125" s="3">
        <v>43699</v>
      </c>
      <c r="D125" s="4">
        <v>0.37410879629629629</v>
      </c>
      <c r="E125" s="5">
        <v>-7.92</v>
      </c>
      <c r="F125" s="5">
        <v>117.15</v>
      </c>
      <c r="G125" s="36">
        <v>4.7</v>
      </c>
      <c r="H125" s="5">
        <v>10</v>
      </c>
      <c r="I125" s="41" t="s">
        <v>10</v>
      </c>
      <c r="J125" s="45" t="s">
        <v>17</v>
      </c>
      <c r="K125">
        <v>1141</v>
      </c>
      <c r="L125">
        <f t="shared" si="14"/>
        <v>1</v>
      </c>
      <c r="M125">
        <v>95.643589621406889</v>
      </c>
      <c r="N125">
        <v>96.164942862085098</v>
      </c>
      <c r="O125">
        <f t="shared" si="19"/>
        <v>0</v>
      </c>
      <c r="P125">
        <f t="shared" si="20"/>
        <v>1</v>
      </c>
      <c r="Q125">
        <f t="shared" si="21"/>
        <v>-5.431</v>
      </c>
      <c r="R125">
        <v>0</v>
      </c>
      <c r="S125">
        <f t="shared" si="15"/>
        <v>-1.5682336777214316</v>
      </c>
      <c r="T125">
        <v>-3.2266640127900712</v>
      </c>
      <c r="U125">
        <f t="shared" si="16"/>
        <v>-1.6584303350686396</v>
      </c>
    </row>
    <row r="126" spans="1:21">
      <c r="A126">
        <f t="shared" si="17"/>
        <v>125</v>
      </c>
      <c r="B126" s="2">
        <f t="shared" si="18"/>
        <v>68</v>
      </c>
      <c r="C126" s="3">
        <v>43720</v>
      </c>
      <c r="D126" s="4">
        <v>0.27743055555555557</v>
      </c>
      <c r="E126" s="5">
        <v>-7.89</v>
      </c>
      <c r="F126" s="5">
        <v>117.69</v>
      </c>
      <c r="G126" s="36">
        <v>4.5999999999999996</v>
      </c>
      <c r="H126" s="5">
        <v>10</v>
      </c>
      <c r="I126" s="41" t="s">
        <v>10</v>
      </c>
      <c r="J126" s="45" t="s">
        <v>14</v>
      </c>
      <c r="K126">
        <v>290</v>
      </c>
      <c r="L126">
        <f t="shared" si="14"/>
        <v>3</v>
      </c>
      <c r="M126">
        <v>96.937892582870234</v>
      </c>
      <c r="N126">
        <v>97.452321770228167</v>
      </c>
      <c r="O126">
        <f t="shared" si="19"/>
        <v>0</v>
      </c>
      <c r="P126">
        <f t="shared" si="20"/>
        <v>1</v>
      </c>
      <c r="Q126">
        <f t="shared" si="21"/>
        <v>-4.8929999999999998</v>
      </c>
      <c r="R126">
        <v>1</v>
      </c>
      <c r="S126">
        <f t="shared" si="15"/>
        <v>-1.220876315273332</v>
      </c>
      <c r="T126">
        <v>-3.815991510960894</v>
      </c>
      <c r="U126">
        <f t="shared" si="16"/>
        <v>-2.595115195687562</v>
      </c>
    </row>
    <row r="127" spans="1:21">
      <c r="A127">
        <f t="shared" si="17"/>
        <v>126</v>
      </c>
      <c r="B127" s="2">
        <f t="shared" si="18"/>
        <v>68</v>
      </c>
      <c r="C127" s="29">
        <v>43720</v>
      </c>
      <c r="D127" s="30">
        <v>0.27743055555555557</v>
      </c>
      <c r="E127" s="31">
        <v>-7.89</v>
      </c>
      <c r="F127" s="31">
        <v>117.69</v>
      </c>
      <c r="G127" s="36">
        <v>4.5999999999999996</v>
      </c>
      <c r="H127" s="31">
        <v>10</v>
      </c>
      <c r="I127" s="2" t="s">
        <v>10</v>
      </c>
      <c r="J127" s="45" t="s">
        <v>16</v>
      </c>
      <c r="K127">
        <v>770</v>
      </c>
      <c r="L127">
        <f t="shared" si="14"/>
        <v>1</v>
      </c>
      <c r="M127">
        <v>184.53152886292455</v>
      </c>
      <c r="N127">
        <v>184.80228663219606</v>
      </c>
      <c r="O127">
        <f t="shared" si="19"/>
        <v>0</v>
      </c>
      <c r="P127">
        <f t="shared" si="20"/>
        <v>1</v>
      </c>
      <c r="Q127">
        <f t="shared" si="21"/>
        <v>-5.431</v>
      </c>
      <c r="R127">
        <v>0</v>
      </c>
      <c r="S127">
        <f t="shared" si="15"/>
        <v>-2.5254766251635625</v>
      </c>
      <c r="T127">
        <v>-6.5807060547166056</v>
      </c>
      <c r="U127">
        <f t="shared" si="16"/>
        <v>-4.0552294295530427</v>
      </c>
    </row>
    <row r="128" spans="1:21">
      <c r="A128">
        <f t="shared" si="17"/>
        <v>127</v>
      </c>
      <c r="B128" s="2">
        <f t="shared" si="18"/>
        <v>68</v>
      </c>
      <c r="C128" s="3">
        <v>43720</v>
      </c>
      <c r="D128" s="4">
        <v>0.27743055555555557</v>
      </c>
      <c r="E128" s="5">
        <v>-7.89</v>
      </c>
      <c r="F128" s="5">
        <v>117.69</v>
      </c>
      <c r="G128" s="36">
        <v>4.5999999999999996</v>
      </c>
      <c r="H128" s="5">
        <v>10</v>
      </c>
      <c r="I128" s="41" t="s">
        <v>10</v>
      </c>
      <c r="J128" s="45" t="s">
        <v>19</v>
      </c>
      <c r="K128">
        <v>283</v>
      </c>
      <c r="L128">
        <f t="shared" si="14"/>
        <v>3</v>
      </c>
      <c r="M128">
        <v>73.219283176838076</v>
      </c>
      <c r="N128">
        <v>73.899008308163403</v>
      </c>
      <c r="O128">
        <f t="shared" si="19"/>
        <v>0</v>
      </c>
      <c r="P128">
        <f t="shared" si="20"/>
        <v>1</v>
      </c>
      <c r="Q128">
        <f t="shared" si="21"/>
        <v>-4.8929999999999998</v>
      </c>
      <c r="R128">
        <v>0</v>
      </c>
      <c r="S128">
        <f t="shared" si="15"/>
        <v>-0.91075223233618052</v>
      </c>
      <c r="T128">
        <v>-4.3252763014581808</v>
      </c>
      <c r="U128">
        <f t="shared" si="16"/>
        <v>-3.4145240691220002</v>
      </c>
    </row>
    <row r="129" spans="1:21">
      <c r="A129">
        <f t="shared" si="17"/>
        <v>128</v>
      </c>
      <c r="B129" s="2">
        <f t="shared" si="18"/>
        <v>68</v>
      </c>
      <c r="C129" s="3">
        <v>43720</v>
      </c>
      <c r="D129" s="4">
        <v>0.27743055555555557</v>
      </c>
      <c r="E129" s="5">
        <v>-7.89</v>
      </c>
      <c r="F129" s="5">
        <v>117.69</v>
      </c>
      <c r="G129" s="36">
        <v>4.5999999999999996</v>
      </c>
      <c r="H129" s="5">
        <v>10</v>
      </c>
      <c r="I129" s="41" t="s">
        <v>10</v>
      </c>
      <c r="J129" s="45" t="s">
        <v>17</v>
      </c>
      <c r="K129">
        <v>1141</v>
      </c>
      <c r="L129">
        <f t="shared" si="14"/>
        <v>1</v>
      </c>
      <c r="M129">
        <v>130.14062651273792</v>
      </c>
      <c r="N129">
        <v>130.52426084497833</v>
      </c>
      <c r="O129">
        <f t="shared" si="19"/>
        <v>0</v>
      </c>
      <c r="P129">
        <f t="shared" si="20"/>
        <v>1</v>
      </c>
      <c r="Q129">
        <f t="shared" si="21"/>
        <v>-5.431</v>
      </c>
      <c r="R129">
        <v>0</v>
      </c>
      <c r="S129">
        <f t="shared" si="15"/>
        <v>-2.0987623021366351</v>
      </c>
      <c r="T129">
        <v>-4.6886112377574749</v>
      </c>
      <c r="U129">
        <f t="shared" si="16"/>
        <v>-2.5898489356208398</v>
      </c>
    </row>
    <row r="130" spans="1:21">
      <c r="A130">
        <f t="shared" si="17"/>
        <v>129</v>
      </c>
      <c r="B130" s="2">
        <f t="shared" si="18"/>
        <v>69</v>
      </c>
      <c r="C130" s="25">
        <v>43836</v>
      </c>
      <c r="D130" s="26">
        <v>0.81380787037037028</v>
      </c>
      <c r="E130" s="27">
        <v>-8.17</v>
      </c>
      <c r="F130" s="27">
        <v>118.52</v>
      </c>
      <c r="G130" s="36">
        <v>4.4000000000000004</v>
      </c>
      <c r="H130" s="27">
        <v>14</v>
      </c>
      <c r="I130" s="41" t="s">
        <v>10</v>
      </c>
      <c r="J130" s="45" t="s">
        <v>13</v>
      </c>
      <c r="K130">
        <v>386</v>
      </c>
      <c r="L130">
        <f t="shared" si="14"/>
        <v>2</v>
      </c>
      <c r="M130">
        <v>45.650378932391213</v>
      </c>
      <c r="N130">
        <v>47.748896287463104</v>
      </c>
      <c r="O130">
        <f t="shared" ref="O130:O157" si="22">IF(H130&lt;15,0,1)</f>
        <v>0</v>
      </c>
      <c r="P130">
        <f t="shared" ref="P130:P157" si="23">IF(I130="reverse",1,0)</f>
        <v>1</v>
      </c>
      <c r="Q130">
        <f t="shared" ref="Q130:Q157" si="24">IF(L130=1,$W$8,IF(L130=2,$W$9,$W$10))</f>
        <v>-5.0890000000000004</v>
      </c>
      <c r="R130">
        <v>0</v>
      </c>
      <c r="S130">
        <f t="shared" si="15"/>
        <v>-0.98462167130827272</v>
      </c>
      <c r="T130">
        <v>-4.2907798657147049</v>
      </c>
      <c r="U130">
        <f t="shared" si="16"/>
        <v>-3.3061581944064322</v>
      </c>
    </row>
    <row r="131" spans="1:21">
      <c r="A131">
        <f t="shared" si="17"/>
        <v>130</v>
      </c>
      <c r="B131" s="2">
        <f t="shared" si="18"/>
        <v>69</v>
      </c>
      <c r="C131" s="3">
        <v>43836</v>
      </c>
      <c r="D131" s="4">
        <v>0.81380787037037028</v>
      </c>
      <c r="E131" s="5">
        <v>-8.17</v>
      </c>
      <c r="F131" s="5">
        <v>118.52</v>
      </c>
      <c r="G131" s="36">
        <v>4.4000000000000004</v>
      </c>
      <c r="H131" s="5">
        <v>14</v>
      </c>
      <c r="I131" s="41" t="s">
        <v>10</v>
      </c>
      <c r="J131" s="45" t="s">
        <v>14</v>
      </c>
      <c r="K131">
        <v>290</v>
      </c>
      <c r="L131">
        <f t="shared" ref="L131:L157" si="25">IF(K131&gt;600,1,IF(AND(K131&lt;=600,K131&gt;300),2,3))</f>
        <v>3</v>
      </c>
      <c r="M131">
        <v>43.516837554768216</v>
      </c>
      <c r="N131">
        <v>45.713402310133134</v>
      </c>
      <c r="O131">
        <f t="shared" si="22"/>
        <v>0</v>
      </c>
      <c r="P131">
        <f t="shared" si="23"/>
        <v>1</v>
      </c>
      <c r="Q131">
        <f t="shared" si="24"/>
        <v>-4.8929999999999998</v>
      </c>
      <c r="R131">
        <v>0</v>
      </c>
      <c r="S131">
        <f t="shared" ref="S131:S157" si="26">$W$2*G131+$W$3*N131-LN(N131+($W$4*EXP($W$5*G131)))+$W$6*(H131-15)*O131+$W$7*P131+Q131</f>
        <v>-0.74233470491757814</v>
      </c>
      <c r="T131">
        <v>-3.1551135909697341</v>
      </c>
      <c r="U131">
        <f t="shared" ref="U131:U157" si="27">T131-S131</f>
        <v>-2.412778886052156</v>
      </c>
    </row>
    <row r="132" spans="1:21">
      <c r="A132">
        <f t="shared" ref="A132:A157" si="28">A131+1</f>
        <v>131</v>
      </c>
      <c r="B132" s="2">
        <f t="shared" si="18"/>
        <v>69</v>
      </c>
      <c r="C132" s="3">
        <v>43836</v>
      </c>
      <c r="D132" s="4">
        <v>0.81380787037037028</v>
      </c>
      <c r="E132" s="5">
        <v>-8.17</v>
      </c>
      <c r="F132" s="5">
        <v>118.52</v>
      </c>
      <c r="G132" s="36">
        <v>4.4000000000000004</v>
      </c>
      <c r="H132" s="5">
        <v>14</v>
      </c>
      <c r="I132" s="41" t="s">
        <v>10</v>
      </c>
      <c r="J132" s="45" t="s">
        <v>19</v>
      </c>
      <c r="K132">
        <v>283</v>
      </c>
      <c r="L132">
        <f t="shared" si="25"/>
        <v>3</v>
      </c>
      <c r="M132">
        <v>127.96159236009052</v>
      </c>
      <c r="N132">
        <v>128.72516894271291</v>
      </c>
      <c r="O132">
        <f t="shared" si="22"/>
        <v>0</v>
      </c>
      <c r="P132">
        <f t="shared" si="23"/>
        <v>1</v>
      </c>
      <c r="Q132">
        <f t="shared" si="24"/>
        <v>-4.8929999999999998</v>
      </c>
      <c r="R132">
        <v>1</v>
      </c>
      <c r="S132">
        <f t="shared" si="26"/>
        <v>-1.8955633465446504</v>
      </c>
      <c r="T132">
        <v>-5.0584448358548944</v>
      </c>
      <c r="U132">
        <f t="shared" si="27"/>
        <v>-3.1628814893102439</v>
      </c>
    </row>
    <row r="133" spans="1:21">
      <c r="A133" s="8">
        <f t="shared" si="28"/>
        <v>132</v>
      </c>
      <c r="B133" s="9">
        <f t="shared" si="18"/>
        <v>69</v>
      </c>
      <c r="C133" s="10">
        <v>43836</v>
      </c>
      <c r="D133" s="11">
        <v>0.81380787037037028</v>
      </c>
      <c r="E133" s="12">
        <v>-8.17</v>
      </c>
      <c r="F133" s="12">
        <v>118.52</v>
      </c>
      <c r="G133" s="37">
        <v>4.4000000000000004</v>
      </c>
      <c r="H133" s="12">
        <v>14</v>
      </c>
      <c r="I133" s="42" t="s">
        <v>10</v>
      </c>
      <c r="J133" s="46" t="s">
        <v>17</v>
      </c>
      <c r="K133">
        <v>1141</v>
      </c>
      <c r="L133">
        <f t="shared" si="25"/>
        <v>1</v>
      </c>
      <c r="M133">
        <v>192.61618215084559</v>
      </c>
      <c r="N133">
        <v>193.12429579513741</v>
      </c>
      <c r="O133">
        <f t="shared" si="22"/>
        <v>0</v>
      </c>
      <c r="P133">
        <f t="shared" si="23"/>
        <v>1</v>
      </c>
      <c r="Q133">
        <f t="shared" si="24"/>
        <v>-5.431</v>
      </c>
      <c r="R133">
        <v>0</v>
      </c>
      <c r="S133">
        <f t="shared" si="26"/>
        <v>-2.9331321241746591</v>
      </c>
      <c r="T133">
        <v>-6.5807060547166056</v>
      </c>
      <c r="U133">
        <f t="shared" si="27"/>
        <v>-3.6475739305419466</v>
      </c>
    </row>
    <row r="134" spans="1:21">
      <c r="A134">
        <f t="shared" si="28"/>
        <v>133</v>
      </c>
      <c r="B134" s="2">
        <f t="shared" si="18"/>
        <v>70</v>
      </c>
      <c r="C134" s="3">
        <v>43879</v>
      </c>
      <c r="D134" s="4">
        <v>0.60881944444444447</v>
      </c>
      <c r="E134" s="5">
        <v>-7.83</v>
      </c>
      <c r="F134" s="5">
        <v>118.82</v>
      </c>
      <c r="G134" s="36">
        <v>4.4000000000000004</v>
      </c>
      <c r="H134" s="5">
        <v>26</v>
      </c>
      <c r="I134" s="41" t="s">
        <v>10</v>
      </c>
      <c r="J134" s="45" t="s">
        <v>14</v>
      </c>
      <c r="K134">
        <v>290</v>
      </c>
      <c r="L134">
        <f t="shared" si="25"/>
        <v>3</v>
      </c>
      <c r="M134">
        <v>93.582452874927512</v>
      </c>
      <c r="N134">
        <v>97.127109944072913</v>
      </c>
      <c r="O134">
        <f t="shared" si="22"/>
        <v>1</v>
      </c>
      <c r="P134">
        <f t="shared" si="23"/>
        <v>1</v>
      </c>
      <c r="Q134">
        <f t="shared" si="24"/>
        <v>-4.8929999999999998</v>
      </c>
      <c r="R134">
        <v>0</v>
      </c>
      <c r="S134">
        <f t="shared" si="26"/>
        <v>-1.4973484635928296</v>
      </c>
      <c r="T134">
        <v>-3.8071417224111936</v>
      </c>
      <c r="U134">
        <f t="shared" si="27"/>
        <v>-2.3097932588183641</v>
      </c>
    </row>
    <row r="135" spans="1:21">
      <c r="A135" s="8">
        <f t="shared" si="28"/>
        <v>134</v>
      </c>
      <c r="B135" s="9">
        <f t="shared" ref="B135:B157" si="29">IF(D135=D134,B134,B134+1)</f>
        <v>70</v>
      </c>
      <c r="C135" s="10">
        <v>43879</v>
      </c>
      <c r="D135" s="11">
        <v>0.60881944444444447</v>
      </c>
      <c r="E135" s="12">
        <v>-7.83</v>
      </c>
      <c r="F135" s="12">
        <v>118.82</v>
      </c>
      <c r="G135" s="37">
        <v>4.4000000000000004</v>
      </c>
      <c r="H135" s="12">
        <v>26</v>
      </c>
      <c r="I135" s="42" t="s">
        <v>10</v>
      </c>
      <c r="J135" s="46" t="s">
        <v>17</v>
      </c>
      <c r="K135">
        <v>1141</v>
      </c>
      <c r="L135">
        <f t="shared" si="25"/>
        <v>1</v>
      </c>
      <c r="M135">
        <v>237.77709132514747</v>
      </c>
      <c r="N135">
        <v>239.19436690492424</v>
      </c>
      <c r="O135">
        <f t="shared" si="22"/>
        <v>1</v>
      </c>
      <c r="P135">
        <f t="shared" si="23"/>
        <v>1</v>
      </c>
      <c r="Q135">
        <f t="shared" si="24"/>
        <v>-5.431</v>
      </c>
      <c r="R135">
        <v>1</v>
      </c>
      <c r="S135">
        <f t="shared" si="26"/>
        <v>-3.1436678262806996</v>
      </c>
      <c r="T135">
        <v>-6.5807060547166056</v>
      </c>
      <c r="U135">
        <f t="shared" si="27"/>
        <v>-3.437038228435906</v>
      </c>
    </row>
    <row r="136" spans="1:21">
      <c r="A136">
        <f t="shared" si="28"/>
        <v>135</v>
      </c>
      <c r="B136" s="2">
        <f t="shared" si="29"/>
        <v>71</v>
      </c>
      <c r="C136" s="3">
        <v>43887</v>
      </c>
      <c r="D136" s="4">
        <v>0.53743055555555552</v>
      </c>
      <c r="E136" s="5">
        <v>-8.4</v>
      </c>
      <c r="F136" s="5">
        <v>116.59</v>
      </c>
      <c r="G136" s="36">
        <v>3.6</v>
      </c>
      <c r="H136" s="5">
        <v>10</v>
      </c>
      <c r="I136" s="41" t="s">
        <v>10</v>
      </c>
      <c r="J136" s="45" t="s">
        <v>14</v>
      </c>
      <c r="K136">
        <v>290</v>
      </c>
      <c r="L136">
        <f t="shared" si="25"/>
        <v>3</v>
      </c>
      <c r="M136">
        <v>191.64887216059438</v>
      </c>
      <c r="N136">
        <v>191.90958860991768</v>
      </c>
      <c r="O136">
        <f t="shared" si="22"/>
        <v>0</v>
      </c>
      <c r="P136">
        <f t="shared" si="23"/>
        <v>1</v>
      </c>
      <c r="Q136">
        <f t="shared" si="24"/>
        <v>-4.8929999999999998</v>
      </c>
      <c r="R136">
        <v>0</v>
      </c>
      <c r="S136">
        <f t="shared" si="26"/>
        <v>-3.7933989694358243</v>
      </c>
      <c r="T136">
        <v>-6.0313999103825511</v>
      </c>
      <c r="U136">
        <f t="shared" si="27"/>
        <v>-2.2380009409467267</v>
      </c>
    </row>
    <row r="137" spans="1:21">
      <c r="A137">
        <f t="shared" si="28"/>
        <v>136</v>
      </c>
      <c r="B137" s="2">
        <f t="shared" si="29"/>
        <v>71</v>
      </c>
      <c r="C137" s="3">
        <v>43887</v>
      </c>
      <c r="D137" s="4">
        <v>0.53743055555555552</v>
      </c>
      <c r="E137" s="5">
        <v>-8.4</v>
      </c>
      <c r="F137" s="5">
        <v>116.59</v>
      </c>
      <c r="G137" s="36">
        <v>3.6</v>
      </c>
      <c r="H137" s="5">
        <v>10</v>
      </c>
      <c r="I137" s="41" t="s">
        <v>10</v>
      </c>
      <c r="J137" s="45" t="s">
        <v>17</v>
      </c>
      <c r="K137">
        <v>1141</v>
      </c>
      <c r="L137">
        <f t="shared" si="25"/>
        <v>1</v>
      </c>
      <c r="M137">
        <v>49.632687466105466</v>
      </c>
      <c r="N137">
        <v>50.63006680923997</v>
      </c>
      <c r="O137">
        <f t="shared" si="22"/>
        <v>0</v>
      </c>
      <c r="P137">
        <f t="shared" si="23"/>
        <v>1</v>
      </c>
      <c r="Q137">
        <f t="shared" si="24"/>
        <v>-5.431</v>
      </c>
      <c r="R137">
        <v>1</v>
      </c>
      <c r="S137">
        <f t="shared" si="26"/>
        <v>-2.7930995827412026</v>
      </c>
      <c r="T137">
        <v>-6.0313999103825511</v>
      </c>
      <c r="U137">
        <f t="shared" si="27"/>
        <v>-3.2383003276413485</v>
      </c>
    </row>
    <row r="138" spans="1:21">
      <c r="A138">
        <f t="shared" si="28"/>
        <v>137</v>
      </c>
      <c r="B138" s="2">
        <f t="shared" si="29"/>
        <v>72</v>
      </c>
      <c r="C138" s="3">
        <v>43892</v>
      </c>
      <c r="D138" s="4">
        <v>0.968287037037037</v>
      </c>
      <c r="E138" s="5">
        <v>-8.4</v>
      </c>
      <c r="F138" s="5">
        <v>116.23</v>
      </c>
      <c r="G138" s="36">
        <v>3.8</v>
      </c>
      <c r="H138" s="5">
        <v>12</v>
      </c>
      <c r="I138" s="41" t="s">
        <v>10</v>
      </c>
      <c r="J138" s="45" t="s">
        <v>14</v>
      </c>
      <c r="K138">
        <v>290</v>
      </c>
      <c r="L138">
        <f t="shared" si="25"/>
        <v>3</v>
      </c>
      <c r="M138">
        <v>231.58708017250825</v>
      </c>
      <c r="N138">
        <v>231.89776993931565</v>
      </c>
      <c r="O138">
        <f t="shared" si="22"/>
        <v>0</v>
      </c>
      <c r="P138">
        <f t="shared" si="23"/>
        <v>1</v>
      </c>
      <c r="Q138">
        <f t="shared" si="24"/>
        <v>-4.8929999999999998</v>
      </c>
      <c r="R138">
        <v>1</v>
      </c>
      <c r="S138">
        <f t="shared" si="26"/>
        <v>-3.6896644330256909</v>
      </c>
      <c r="T138">
        <v>-6.2341324644366329</v>
      </c>
      <c r="U138">
        <f t="shared" si="27"/>
        <v>-2.544468031410942</v>
      </c>
    </row>
    <row r="139" spans="1:21">
      <c r="A139">
        <f t="shared" si="28"/>
        <v>138</v>
      </c>
      <c r="B139" s="2">
        <f t="shared" si="29"/>
        <v>72</v>
      </c>
      <c r="C139" s="3">
        <v>43892</v>
      </c>
      <c r="D139" s="4">
        <v>0.968287037037037</v>
      </c>
      <c r="E139" s="5">
        <v>-8.4</v>
      </c>
      <c r="F139" s="5">
        <v>116.23</v>
      </c>
      <c r="G139" s="36">
        <v>3.8</v>
      </c>
      <c r="H139" s="5">
        <v>12</v>
      </c>
      <c r="I139" s="41" t="s">
        <v>10</v>
      </c>
      <c r="J139" s="45" t="s">
        <v>15</v>
      </c>
      <c r="K139">
        <v>210</v>
      </c>
      <c r="L139">
        <f t="shared" si="25"/>
        <v>3</v>
      </c>
      <c r="M139">
        <v>23.286409728284827</v>
      </c>
      <c r="N139">
        <v>26.196505072882495</v>
      </c>
      <c r="O139">
        <f t="shared" si="22"/>
        <v>0</v>
      </c>
      <c r="P139">
        <f t="shared" si="23"/>
        <v>1</v>
      </c>
      <c r="Q139">
        <f t="shared" si="24"/>
        <v>-4.8929999999999998</v>
      </c>
      <c r="R139">
        <v>0</v>
      </c>
      <c r="S139">
        <f t="shared" si="26"/>
        <v>-1.2119215081854771</v>
      </c>
      <c r="T139">
        <v>-5.0584448358548944</v>
      </c>
      <c r="U139">
        <f t="shared" si="27"/>
        <v>-3.8465233276694173</v>
      </c>
    </row>
    <row r="140" spans="1:21">
      <c r="A140">
        <f t="shared" si="28"/>
        <v>139</v>
      </c>
      <c r="B140" s="2">
        <f t="shared" si="29"/>
        <v>72</v>
      </c>
      <c r="C140" s="24">
        <v>43892</v>
      </c>
      <c r="D140" s="4">
        <v>0.968287037037037</v>
      </c>
      <c r="E140" s="5">
        <v>-8.4</v>
      </c>
      <c r="F140" s="5">
        <v>116.23</v>
      </c>
      <c r="G140" s="36">
        <v>3.8</v>
      </c>
      <c r="H140" s="5">
        <v>12</v>
      </c>
      <c r="I140" s="2" t="s">
        <v>10</v>
      </c>
      <c r="J140" s="45" t="s">
        <v>16</v>
      </c>
      <c r="K140">
        <v>770</v>
      </c>
      <c r="L140">
        <f t="shared" si="25"/>
        <v>1</v>
      </c>
      <c r="M140">
        <v>41.034935023077367</v>
      </c>
      <c r="N140">
        <v>42.753548301260111</v>
      </c>
      <c r="O140">
        <f t="shared" si="22"/>
        <v>0</v>
      </c>
      <c r="P140">
        <f t="shared" si="23"/>
        <v>1</v>
      </c>
      <c r="Q140">
        <f t="shared" si="24"/>
        <v>-5.431</v>
      </c>
      <c r="R140">
        <v>0</v>
      </c>
      <c r="S140">
        <f t="shared" si="26"/>
        <v>-2.261772369460914</v>
      </c>
      <c r="T140">
        <v>-6.9272796449965783</v>
      </c>
      <c r="U140">
        <f t="shared" si="27"/>
        <v>-4.6655072755356644</v>
      </c>
    </row>
    <row r="141" spans="1:21">
      <c r="A141">
        <f t="shared" si="28"/>
        <v>140</v>
      </c>
      <c r="B141" s="2">
        <f t="shared" si="29"/>
        <v>72</v>
      </c>
      <c r="C141" s="3">
        <v>43892</v>
      </c>
      <c r="D141" s="4">
        <v>0.968287037037037</v>
      </c>
      <c r="E141" s="5">
        <v>-8.4</v>
      </c>
      <c r="F141" s="5">
        <v>116.23</v>
      </c>
      <c r="G141" s="36">
        <v>3.8</v>
      </c>
      <c r="H141" s="5">
        <v>12</v>
      </c>
      <c r="I141" s="41" t="s">
        <v>10</v>
      </c>
      <c r="J141" s="45" t="s">
        <v>19</v>
      </c>
      <c r="K141">
        <v>283</v>
      </c>
      <c r="L141">
        <f t="shared" si="25"/>
        <v>3</v>
      </c>
      <c r="M141">
        <v>131.79443249974477</v>
      </c>
      <c r="N141">
        <v>132.33961023793964</v>
      </c>
      <c r="O141">
        <f t="shared" si="22"/>
        <v>0</v>
      </c>
      <c r="P141">
        <f t="shared" si="23"/>
        <v>1</v>
      </c>
      <c r="Q141">
        <f t="shared" si="24"/>
        <v>-4.8929999999999998</v>
      </c>
      <c r="R141">
        <v>1</v>
      </c>
      <c r="S141">
        <f t="shared" si="26"/>
        <v>-2.9828985484961241</v>
      </c>
      <c r="T141">
        <v>-6.2341324644366329</v>
      </c>
      <c r="U141">
        <f t="shared" si="27"/>
        <v>-3.2512339159405088</v>
      </c>
    </row>
    <row r="142" spans="1:21">
      <c r="A142">
        <f t="shared" si="28"/>
        <v>141</v>
      </c>
      <c r="B142" s="2">
        <f t="shared" si="29"/>
        <v>72</v>
      </c>
      <c r="C142" s="3">
        <v>43892</v>
      </c>
      <c r="D142" s="4">
        <v>0.968287037037037</v>
      </c>
      <c r="E142" s="5">
        <v>-8.4</v>
      </c>
      <c r="F142" s="5">
        <v>116.23</v>
      </c>
      <c r="G142" s="36">
        <v>3.8</v>
      </c>
      <c r="H142" s="5">
        <v>12</v>
      </c>
      <c r="I142" s="41" t="s">
        <v>10</v>
      </c>
      <c r="J142" s="45" t="s">
        <v>17</v>
      </c>
      <c r="K142">
        <v>1141</v>
      </c>
      <c r="L142">
        <f t="shared" si="25"/>
        <v>1</v>
      </c>
      <c r="M142">
        <v>81.597304805416869</v>
      </c>
      <c r="N142">
        <v>82.474966817259812</v>
      </c>
      <c r="O142">
        <f t="shared" si="22"/>
        <v>0</v>
      </c>
      <c r="P142">
        <f t="shared" si="23"/>
        <v>1</v>
      </c>
      <c r="Q142">
        <f t="shared" si="24"/>
        <v>-5.431</v>
      </c>
      <c r="R142">
        <v>1</v>
      </c>
      <c r="S142">
        <f t="shared" si="26"/>
        <v>-2.9754384372877882</v>
      </c>
      <c r="T142">
        <v>-6.9272796449965783</v>
      </c>
      <c r="U142">
        <f t="shared" si="27"/>
        <v>-3.9518412077087901</v>
      </c>
    </row>
    <row r="143" spans="1:21">
      <c r="A143">
        <f t="shared" si="28"/>
        <v>142</v>
      </c>
      <c r="B143" s="2">
        <f t="shared" si="29"/>
        <v>73</v>
      </c>
      <c r="C143" s="3">
        <v>43913</v>
      </c>
      <c r="D143" s="4">
        <v>0.93695601852232357</v>
      </c>
      <c r="E143" s="5">
        <v>-8.2100000000000009</v>
      </c>
      <c r="F143" s="5">
        <v>116.2</v>
      </c>
      <c r="G143" s="36">
        <v>4.2</v>
      </c>
      <c r="H143" s="5">
        <v>16</v>
      </c>
      <c r="I143" s="41" t="s">
        <v>10</v>
      </c>
      <c r="J143" s="45" t="s">
        <v>14</v>
      </c>
      <c r="K143">
        <v>290</v>
      </c>
      <c r="L143">
        <f t="shared" si="25"/>
        <v>3</v>
      </c>
      <c r="M143">
        <v>236.87368372963641</v>
      </c>
      <c r="N143">
        <v>237.41344116045286</v>
      </c>
      <c r="O143">
        <f t="shared" si="22"/>
        <v>1</v>
      </c>
      <c r="P143">
        <f t="shared" si="23"/>
        <v>1</v>
      </c>
      <c r="Q143">
        <f t="shared" si="24"/>
        <v>-4.8929999999999998</v>
      </c>
      <c r="R143">
        <v>1</v>
      </c>
      <c r="S143">
        <f t="shared" si="26"/>
        <v>-3.0115587083340385</v>
      </c>
      <c r="T143">
        <v>-5.5409852838766875</v>
      </c>
      <c r="U143">
        <f t="shared" si="27"/>
        <v>-2.529426575542649</v>
      </c>
    </row>
    <row r="144" spans="1:21">
      <c r="A144">
        <f t="shared" si="28"/>
        <v>143</v>
      </c>
      <c r="B144" s="2">
        <f t="shared" si="29"/>
        <v>73</v>
      </c>
      <c r="C144" s="3">
        <v>43913</v>
      </c>
      <c r="D144" s="4">
        <v>0.93695601852232357</v>
      </c>
      <c r="E144" s="5">
        <v>-8.2100000000000009</v>
      </c>
      <c r="F144" s="5">
        <v>116.2</v>
      </c>
      <c r="G144" s="36">
        <v>4.2</v>
      </c>
      <c r="H144" s="5">
        <v>16</v>
      </c>
      <c r="I144" s="41" t="s">
        <v>10</v>
      </c>
      <c r="J144" s="45" t="s">
        <v>19</v>
      </c>
      <c r="K144">
        <v>283</v>
      </c>
      <c r="L144">
        <f t="shared" si="25"/>
        <v>3</v>
      </c>
      <c r="M144">
        <v>138.25826990140519</v>
      </c>
      <c r="N144">
        <v>139.18099437829076</v>
      </c>
      <c r="O144">
        <f t="shared" si="22"/>
        <v>1</v>
      </c>
      <c r="P144">
        <f t="shared" si="23"/>
        <v>1</v>
      </c>
      <c r="Q144">
        <f t="shared" si="24"/>
        <v>-4.8929999999999998</v>
      </c>
      <c r="R144">
        <v>1</v>
      </c>
      <c r="S144">
        <f t="shared" si="26"/>
        <v>-2.3338327903614138</v>
      </c>
      <c r="T144">
        <v>-5.2611773899089762</v>
      </c>
      <c r="U144">
        <f t="shared" si="27"/>
        <v>-2.9273445995475624</v>
      </c>
    </row>
    <row r="145" spans="1:21">
      <c r="A145">
        <f t="shared" si="28"/>
        <v>144</v>
      </c>
      <c r="B145" s="2">
        <f t="shared" si="29"/>
        <v>74</v>
      </c>
      <c r="C145" s="3">
        <v>43936</v>
      </c>
      <c r="D145" s="4">
        <v>0.984548611115315</v>
      </c>
      <c r="E145" s="5">
        <v>-8.32</v>
      </c>
      <c r="F145" s="5">
        <v>116.88</v>
      </c>
      <c r="G145" s="36">
        <v>4.8</v>
      </c>
      <c r="H145" s="5">
        <v>10</v>
      </c>
      <c r="I145" s="41" t="s">
        <v>10</v>
      </c>
      <c r="J145" s="45" t="s">
        <v>14</v>
      </c>
      <c r="K145">
        <v>290</v>
      </c>
      <c r="L145">
        <f t="shared" si="25"/>
        <v>3</v>
      </c>
      <c r="M145">
        <v>160.37359502632646</v>
      </c>
      <c r="N145">
        <v>160.68506458805734</v>
      </c>
      <c r="O145">
        <f t="shared" si="22"/>
        <v>0</v>
      </c>
      <c r="P145">
        <f t="shared" si="23"/>
        <v>1</v>
      </c>
      <c r="Q145">
        <f t="shared" si="24"/>
        <v>-4.8929999999999998</v>
      </c>
      <c r="R145">
        <v>0</v>
      </c>
      <c r="S145">
        <f t="shared" si="26"/>
        <v>-1.4611780287361023</v>
      </c>
      <c r="T145">
        <v>-2.9341972148302147</v>
      </c>
      <c r="U145">
        <f t="shared" si="27"/>
        <v>-1.4730191860941124</v>
      </c>
    </row>
    <row r="146" spans="1:21">
      <c r="A146">
        <f t="shared" si="28"/>
        <v>145</v>
      </c>
      <c r="B146" s="2">
        <f t="shared" si="29"/>
        <v>75</v>
      </c>
      <c r="C146" s="3">
        <v>43948</v>
      </c>
      <c r="D146" s="4">
        <v>0.29028935185488081</v>
      </c>
      <c r="E146" s="5">
        <v>-8.2899999999999991</v>
      </c>
      <c r="F146" s="5">
        <v>117.51</v>
      </c>
      <c r="G146" s="36">
        <v>3.5</v>
      </c>
      <c r="H146" s="5">
        <v>10</v>
      </c>
      <c r="I146" s="41" t="s">
        <v>10</v>
      </c>
      <c r="J146" s="45" t="s">
        <v>14</v>
      </c>
      <c r="K146">
        <v>290</v>
      </c>
      <c r="L146">
        <f t="shared" si="25"/>
        <v>3</v>
      </c>
      <c r="M146">
        <v>92.159817959932795</v>
      </c>
      <c r="N146">
        <v>92.700766158689063</v>
      </c>
      <c r="O146">
        <f t="shared" si="22"/>
        <v>0</v>
      </c>
      <c r="P146">
        <f t="shared" si="23"/>
        <v>1</v>
      </c>
      <c r="Q146">
        <f t="shared" si="24"/>
        <v>-4.8929999999999998</v>
      </c>
      <c r="R146">
        <v>0</v>
      </c>
      <c r="S146">
        <f t="shared" si="26"/>
        <v>-3.0963937513641269</v>
      </c>
      <c r="T146">
        <v>-5.6848263201025784</v>
      </c>
      <c r="U146">
        <f t="shared" si="27"/>
        <v>-2.5884325687384515</v>
      </c>
    </row>
    <row r="147" spans="1:21">
      <c r="A147">
        <f t="shared" si="28"/>
        <v>146</v>
      </c>
      <c r="B147" s="2">
        <f t="shared" si="29"/>
        <v>75</v>
      </c>
      <c r="C147" s="3">
        <v>43948</v>
      </c>
      <c r="D147" s="4">
        <v>0.29028935185488081</v>
      </c>
      <c r="E147" s="5">
        <v>-8.2899999999999991</v>
      </c>
      <c r="F147" s="5">
        <v>117.51</v>
      </c>
      <c r="G147" s="36">
        <v>3.5</v>
      </c>
      <c r="H147" s="5">
        <v>10</v>
      </c>
      <c r="I147" s="41" t="s">
        <v>10</v>
      </c>
      <c r="J147" s="45" t="s">
        <v>17</v>
      </c>
      <c r="K147">
        <v>1141</v>
      </c>
      <c r="L147">
        <f t="shared" si="25"/>
        <v>1</v>
      </c>
      <c r="M147">
        <v>85.711155793911104</v>
      </c>
      <c r="N147">
        <v>86.292538655019882</v>
      </c>
      <c r="O147">
        <f t="shared" si="22"/>
        <v>0</v>
      </c>
      <c r="P147">
        <f t="shared" si="23"/>
        <v>1</v>
      </c>
      <c r="Q147">
        <f t="shared" si="24"/>
        <v>-5.431</v>
      </c>
      <c r="R147">
        <v>0</v>
      </c>
      <c r="S147">
        <f t="shared" si="26"/>
        <v>-3.5534325895598857</v>
      </c>
      <c r="T147">
        <v>-6.9272796449965783</v>
      </c>
      <c r="U147">
        <f t="shared" si="27"/>
        <v>-3.3738470554366926</v>
      </c>
    </row>
    <row r="148" spans="1:21">
      <c r="A148">
        <f t="shared" si="28"/>
        <v>147</v>
      </c>
      <c r="B148" s="2">
        <f t="shared" si="29"/>
        <v>76</v>
      </c>
      <c r="C148" s="3">
        <v>43992</v>
      </c>
      <c r="D148" s="4">
        <v>0.3580902777830488</v>
      </c>
      <c r="E148" s="5">
        <v>-8.25</v>
      </c>
      <c r="F148" s="5">
        <v>116.62</v>
      </c>
      <c r="G148" s="36">
        <v>4.2</v>
      </c>
      <c r="H148" s="5">
        <v>10</v>
      </c>
      <c r="I148" s="41" t="s">
        <v>10</v>
      </c>
      <c r="J148" s="45" t="s">
        <v>14</v>
      </c>
      <c r="K148">
        <v>290</v>
      </c>
      <c r="L148">
        <f t="shared" si="25"/>
        <v>3</v>
      </c>
      <c r="M148">
        <v>190.05302625038044</v>
      </c>
      <c r="N148">
        <v>190.31592888386353</v>
      </c>
      <c r="O148">
        <f t="shared" si="22"/>
        <v>0</v>
      </c>
      <c r="P148">
        <f t="shared" si="23"/>
        <v>1</v>
      </c>
      <c r="Q148">
        <f t="shared" si="24"/>
        <v>-4.8929999999999998</v>
      </c>
      <c r="R148">
        <v>0</v>
      </c>
      <c r="S148">
        <f t="shared" si="26"/>
        <v>-2.7278945261193326</v>
      </c>
      <c r="T148">
        <v>-5.6848263201025784</v>
      </c>
      <c r="U148">
        <f t="shared" si="27"/>
        <v>-2.9569317939832458</v>
      </c>
    </row>
    <row r="149" spans="1:21">
      <c r="A149">
        <f t="shared" si="28"/>
        <v>148</v>
      </c>
      <c r="B149" s="2">
        <f t="shared" si="29"/>
        <v>76</v>
      </c>
      <c r="C149" s="3">
        <v>43992</v>
      </c>
      <c r="D149" s="4">
        <v>0.3580902777830488</v>
      </c>
      <c r="E149" s="5">
        <v>-8.25</v>
      </c>
      <c r="F149" s="5">
        <v>116.62</v>
      </c>
      <c r="G149" s="36">
        <v>4.2</v>
      </c>
      <c r="H149" s="5">
        <v>10</v>
      </c>
      <c r="I149" s="41" t="s">
        <v>10</v>
      </c>
      <c r="J149" s="45" t="s">
        <v>17</v>
      </c>
      <c r="K149">
        <v>1141</v>
      </c>
      <c r="L149">
        <f t="shared" si="25"/>
        <v>1</v>
      </c>
      <c r="M149">
        <v>61.54635269622478</v>
      </c>
      <c r="N149">
        <v>62.353456441548573</v>
      </c>
      <c r="O149">
        <f t="shared" si="22"/>
        <v>0</v>
      </c>
      <c r="P149">
        <f t="shared" si="23"/>
        <v>1</v>
      </c>
      <c r="Q149">
        <f t="shared" si="24"/>
        <v>-5.431</v>
      </c>
      <c r="R149">
        <v>0</v>
      </c>
      <c r="S149">
        <f t="shared" si="26"/>
        <v>-1.9644727377768008</v>
      </c>
      <c r="T149">
        <v>-4.8030320239718991</v>
      </c>
      <c r="U149">
        <f t="shared" si="27"/>
        <v>-2.8385592861950983</v>
      </c>
    </row>
    <row r="150" spans="1:21">
      <c r="A150">
        <f t="shared" si="28"/>
        <v>149</v>
      </c>
      <c r="B150" s="2">
        <f t="shared" si="29"/>
        <v>77</v>
      </c>
      <c r="C150" s="3">
        <v>44080</v>
      </c>
      <c r="D150" s="4">
        <v>0.63062500000523869</v>
      </c>
      <c r="E150" s="5">
        <v>-8.32</v>
      </c>
      <c r="F150" s="5">
        <v>117.36</v>
      </c>
      <c r="G150" s="36">
        <v>3.9</v>
      </c>
      <c r="H150" s="5">
        <v>10</v>
      </c>
      <c r="I150" s="41" t="s">
        <v>10</v>
      </c>
      <c r="J150" s="45" t="s">
        <v>14</v>
      </c>
      <c r="K150">
        <v>290</v>
      </c>
      <c r="L150">
        <f t="shared" si="25"/>
        <v>3</v>
      </c>
      <c r="M150">
        <v>107.68058281077444</v>
      </c>
      <c r="N150">
        <v>108.14392222620766</v>
      </c>
      <c r="O150">
        <f t="shared" si="22"/>
        <v>0</v>
      </c>
      <c r="P150">
        <f t="shared" si="23"/>
        <v>1</v>
      </c>
      <c r="Q150">
        <f t="shared" si="24"/>
        <v>-4.8929999999999998</v>
      </c>
      <c r="R150">
        <v>0</v>
      </c>
      <c r="S150">
        <f t="shared" si="26"/>
        <v>-2.5699447578838091</v>
      </c>
      <c r="T150">
        <v>-5.2266809541655004</v>
      </c>
      <c r="U150">
        <f t="shared" si="27"/>
        <v>-2.6567361962816913</v>
      </c>
    </row>
    <row r="151" spans="1:21">
      <c r="A151" s="8">
        <f t="shared" si="28"/>
        <v>150</v>
      </c>
      <c r="B151" s="9">
        <f t="shared" si="29"/>
        <v>78</v>
      </c>
      <c r="C151" s="10">
        <v>44176</v>
      </c>
      <c r="D151" s="11">
        <v>0.53548611111182254</v>
      </c>
      <c r="E151" s="12">
        <v>-8.27</v>
      </c>
      <c r="F151" s="12">
        <v>116.53</v>
      </c>
      <c r="G151" s="37">
        <v>3.9</v>
      </c>
      <c r="H151" s="12">
        <v>11</v>
      </c>
      <c r="I151" s="42" t="s">
        <v>10</v>
      </c>
      <c r="J151" s="46" t="s">
        <v>14</v>
      </c>
      <c r="K151">
        <v>290</v>
      </c>
      <c r="L151">
        <f t="shared" si="25"/>
        <v>3</v>
      </c>
      <c r="M151">
        <v>199.64956279833908</v>
      </c>
      <c r="N151">
        <v>199.95236414098218</v>
      </c>
      <c r="O151">
        <f t="shared" si="22"/>
        <v>0</v>
      </c>
      <c r="P151">
        <f t="shared" si="23"/>
        <v>1</v>
      </c>
      <c r="Q151">
        <f t="shared" si="24"/>
        <v>-4.8929999999999998</v>
      </c>
      <c r="R151">
        <v>0</v>
      </c>
      <c r="S151">
        <f t="shared" si="26"/>
        <v>-3.318780351349552</v>
      </c>
      <c r="T151">
        <v>-6.2341324644366329</v>
      </c>
      <c r="U151">
        <f t="shared" si="27"/>
        <v>-2.915352113087081</v>
      </c>
    </row>
    <row r="152" spans="1:21">
      <c r="A152">
        <f t="shared" si="28"/>
        <v>151</v>
      </c>
      <c r="B152" s="2">
        <f t="shared" si="29"/>
        <v>79</v>
      </c>
      <c r="C152" s="25">
        <v>44274</v>
      </c>
      <c r="D152" s="26">
        <v>0.68978009259444661</v>
      </c>
      <c r="E152" s="27">
        <v>-7.83</v>
      </c>
      <c r="F152" s="27">
        <v>118.78</v>
      </c>
      <c r="G152" s="36">
        <v>4.5</v>
      </c>
      <c r="H152" s="27">
        <v>26</v>
      </c>
      <c r="I152" s="41" t="s">
        <v>10</v>
      </c>
      <c r="J152" s="45" t="s">
        <v>13</v>
      </c>
      <c r="K152">
        <v>386</v>
      </c>
      <c r="L152">
        <f t="shared" si="25"/>
        <v>2</v>
      </c>
      <c r="M152">
        <v>79.768739281944931</v>
      </c>
      <c r="N152">
        <v>83.899057006803744</v>
      </c>
      <c r="O152">
        <f t="shared" si="22"/>
        <v>1</v>
      </c>
      <c r="P152">
        <f t="shared" si="23"/>
        <v>1</v>
      </c>
      <c r="Q152">
        <f t="shared" si="24"/>
        <v>-5.0890000000000004</v>
      </c>
      <c r="R152">
        <v>0</v>
      </c>
      <c r="S152">
        <f t="shared" si="26"/>
        <v>-1.3524407920870285</v>
      </c>
      <c r="T152">
        <v>-3.8159915109608944</v>
      </c>
      <c r="U152">
        <f t="shared" si="27"/>
        <v>-2.4635507188738659</v>
      </c>
    </row>
    <row r="153" spans="1:21">
      <c r="A153">
        <f t="shared" si="28"/>
        <v>152</v>
      </c>
      <c r="B153" s="2">
        <f t="shared" si="29"/>
        <v>79</v>
      </c>
      <c r="C153" s="3">
        <v>44274</v>
      </c>
      <c r="D153" s="4">
        <v>0.68978009259444661</v>
      </c>
      <c r="E153" s="5">
        <v>-7.83</v>
      </c>
      <c r="F153" s="5">
        <v>118.78</v>
      </c>
      <c r="G153" s="36">
        <v>4.5</v>
      </c>
      <c r="H153" s="5">
        <v>26</v>
      </c>
      <c r="I153" s="41" t="s">
        <v>10</v>
      </c>
      <c r="J153" s="45" t="s">
        <v>19</v>
      </c>
      <c r="K153">
        <v>283</v>
      </c>
      <c r="L153">
        <f t="shared" si="25"/>
        <v>3</v>
      </c>
      <c r="M153">
        <v>168.55202854350387</v>
      </c>
      <c r="N153">
        <v>170.54555498789802</v>
      </c>
      <c r="O153">
        <f t="shared" si="22"/>
        <v>1</v>
      </c>
      <c r="P153">
        <f t="shared" si="23"/>
        <v>1</v>
      </c>
      <c r="Q153">
        <f t="shared" si="24"/>
        <v>-4.8929999999999998</v>
      </c>
      <c r="R153">
        <v>1</v>
      </c>
      <c r="S153">
        <f t="shared" si="26"/>
        <v>-1.9912527626962575</v>
      </c>
      <c r="T153">
        <v>-4.9146037996290035</v>
      </c>
      <c r="U153">
        <f t="shared" si="27"/>
        <v>-2.923351036932746</v>
      </c>
    </row>
    <row r="154" spans="1:21">
      <c r="A154" s="8">
        <f t="shared" si="28"/>
        <v>153</v>
      </c>
      <c r="B154" s="9">
        <f t="shared" si="29"/>
        <v>79</v>
      </c>
      <c r="C154" s="10">
        <v>44274</v>
      </c>
      <c r="D154" s="11">
        <v>0.68978009259444661</v>
      </c>
      <c r="E154" s="12">
        <v>-7.83</v>
      </c>
      <c r="F154" s="12">
        <v>118.78</v>
      </c>
      <c r="G154" s="37">
        <v>4.5</v>
      </c>
      <c r="H154" s="12">
        <v>26</v>
      </c>
      <c r="I154" s="42" t="s">
        <v>10</v>
      </c>
      <c r="J154" s="46" t="s">
        <v>17</v>
      </c>
      <c r="K154">
        <v>1141</v>
      </c>
      <c r="L154">
        <f t="shared" si="25"/>
        <v>1</v>
      </c>
      <c r="M154">
        <v>233.7605677111687</v>
      </c>
      <c r="N154">
        <v>235.20204722035879</v>
      </c>
      <c r="O154">
        <f t="shared" si="22"/>
        <v>1</v>
      </c>
      <c r="P154">
        <f t="shared" si="23"/>
        <v>1</v>
      </c>
      <c r="Q154">
        <f t="shared" si="24"/>
        <v>-5.431</v>
      </c>
      <c r="R154">
        <v>1</v>
      </c>
      <c r="S154">
        <f t="shared" si="26"/>
        <v>-2.9452215326962277</v>
      </c>
      <c r="T154">
        <v>-6.2341324644366329</v>
      </c>
      <c r="U154">
        <f t="shared" si="27"/>
        <v>-3.2889109317404053</v>
      </c>
    </row>
    <row r="155" spans="1:21">
      <c r="A155">
        <f t="shared" si="28"/>
        <v>154</v>
      </c>
      <c r="B155" s="2">
        <f t="shared" si="29"/>
        <v>80</v>
      </c>
      <c r="C155" s="3">
        <v>44280</v>
      </c>
      <c r="D155" s="4">
        <v>0.45416666667006211</v>
      </c>
      <c r="E155" s="5">
        <v>-8.3800000000000008</v>
      </c>
      <c r="F155" s="5">
        <v>117.39</v>
      </c>
      <c r="G155" s="36">
        <v>3.5</v>
      </c>
      <c r="H155" s="5">
        <v>10</v>
      </c>
      <c r="I155" s="41" t="s">
        <v>10</v>
      </c>
      <c r="J155" s="45" t="s">
        <v>14</v>
      </c>
      <c r="K155">
        <v>290</v>
      </c>
      <c r="L155">
        <f t="shared" si="25"/>
        <v>3</v>
      </c>
      <c r="M155">
        <v>103.32560484404641</v>
      </c>
      <c r="N155">
        <v>103.80838413340238</v>
      </c>
      <c r="O155">
        <f t="shared" si="22"/>
        <v>0</v>
      </c>
      <c r="P155">
        <f t="shared" si="23"/>
        <v>1</v>
      </c>
      <c r="Q155">
        <f t="shared" si="24"/>
        <v>-4.8929999999999998</v>
      </c>
      <c r="R155">
        <v>0</v>
      </c>
      <c r="S155">
        <f t="shared" si="26"/>
        <v>-3.2257586076151257</v>
      </c>
      <c r="T155">
        <v>-5.0828399179396104</v>
      </c>
      <c r="U155">
        <f t="shared" si="27"/>
        <v>-1.8570813103244848</v>
      </c>
    </row>
    <row r="156" spans="1:21">
      <c r="A156" s="13">
        <f t="shared" si="28"/>
        <v>155</v>
      </c>
      <c r="B156" s="14">
        <f t="shared" si="29"/>
        <v>81</v>
      </c>
      <c r="C156" s="32">
        <v>43331</v>
      </c>
      <c r="D156" s="33">
        <v>0.62263425925925919</v>
      </c>
      <c r="E156" s="34">
        <v>-8.27</v>
      </c>
      <c r="F156" s="35">
        <v>116.67</v>
      </c>
      <c r="G156" s="40">
        <v>6.9</v>
      </c>
      <c r="H156" s="39">
        <v>22</v>
      </c>
      <c r="I156" s="44" t="s">
        <v>10</v>
      </c>
      <c r="J156" s="47" t="s">
        <v>17</v>
      </c>
      <c r="K156">
        <v>1141</v>
      </c>
      <c r="L156">
        <f t="shared" si="25"/>
        <v>1</v>
      </c>
      <c r="M156">
        <v>57.090874097075393</v>
      </c>
      <c r="N156">
        <v>61.183068778609936</v>
      </c>
      <c r="O156">
        <f t="shared" si="22"/>
        <v>1</v>
      </c>
      <c r="P156">
        <f t="shared" si="23"/>
        <v>1</v>
      </c>
      <c r="Q156">
        <f t="shared" si="24"/>
        <v>-5.431</v>
      </c>
      <c r="R156">
        <v>0</v>
      </c>
      <c r="S156">
        <f t="shared" si="26"/>
        <v>2.7945282550729553</v>
      </c>
      <c r="T156">
        <v>2.3173032893980796</v>
      </c>
      <c r="U156">
        <f t="shared" si="27"/>
        <v>-0.47722496567487571</v>
      </c>
    </row>
    <row r="157" spans="1:21">
      <c r="A157" s="13">
        <f t="shared" si="28"/>
        <v>156</v>
      </c>
      <c r="B157" s="14">
        <f t="shared" si="29"/>
        <v>81</v>
      </c>
      <c r="C157" s="32">
        <v>43331</v>
      </c>
      <c r="D157" s="33">
        <v>0.62263425925925919</v>
      </c>
      <c r="E157" s="34">
        <v>-8.27</v>
      </c>
      <c r="F157" s="35">
        <v>116.67</v>
      </c>
      <c r="G157" s="40">
        <v>6.9</v>
      </c>
      <c r="H157" s="39">
        <v>22</v>
      </c>
      <c r="I157" s="44" t="s">
        <v>10</v>
      </c>
      <c r="J157" s="47" t="s">
        <v>16</v>
      </c>
      <c r="K157">
        <v>770</v>
      </c>
      <c r="L157">
        <f t="shared" si="25"/>
        <v>1</v>
      </c>
      <c r="M157">
        <v>70.184466740784501</v>
      </c>
      <c r="N157">
        <v>73.551746217804279</v>
      </c>
      <c r="O157">
        <f t="shared" si="22"/>
        <v>1</v>
      </c>
      <c r="P157">
        <f t="shared" si="23"/>
        <v>1</v>
      </c>
      <c r="Q157">
        <f t="shared" si="24"/>
        <v>-5.431</v>
      </c>
      <c r="R157">
        <v>1</v>
      </c>
      <c r="S157">
        <f t="shared" si="26"/>
        <v>2.6020436722604403</v>
      </c>
      <c r="T157">
        <v>0.51153741687605381</v>
      </c>
      <c r="U157">
        <f t="shared" si="27"/>
        <v>-2.0905062553843865</v>
      </c>
    </row>
    <row r="158" spans="1:21">
      <c r="A158" s="13"/>
      <c r="B158" s="14"/>
      <c r="C158" s="32"/>
      <c r="D158" s="33"/>
      <c r="E158" s="34"/>
      <c r="F158" s="35"/>
      <c r="G158" s="40"/>
      <c r="H158" s="39"/>
      <c r="I158" s="44"/>
      <c r="J158" s="47"/>
    </row>
    <row r="160" spans="1:21">
      <c r="U160" s="5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PGA</vt:lpstr>
      <vt:lpstr>SA (0.3 s)</vt:lpstr>
      <vt:lpstr>SA (1.0 s)</vt:lpstr>
      <vt:lpstr>SA (3.0 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Rian Mahendra Taruna</cp:lastModifiedBy>
  <dcterms:created xsi:type="dcterms:W3CDTF">2025-02-03T10:01:49Z</dcterms:created>
  <dcterms:modified xsi:type="dcterms:W3CDTF">2025-02-24T13:25:23Z</dcterms:modified>
</cp:coreProperties>
</file>